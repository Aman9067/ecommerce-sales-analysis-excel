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slicers/slicer3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xr:revisionPtr revIDLastSave="2791" documentId="11_E60897F41BE170836B02CE998F75CCDC64E183C8" xr6:coauthVersionLast="47" xr6:coauthVersionMax="47" xr10:uidLastSave="{98F7EB32-F997-4820-AFEC-12218E0324D0}"/>
  <bookViews>
    <workbookView xWindow="240" yWindow="105" windowWidth="14805" windowHeight="8010" firstSheet="6" activeTab="6" xr2:uid="{00000000-000D-0000-FFFF-FFFF00000000}"/>
  </bookViews>
  <sheets>
    <sheet name="Sales vs Orders" sheetId="4" state="hidden" r:id="rId1"/>
    <sheet name="Man VS Women" sheetId="5" state="hidden" r:id="rId2"/>
    <sheet name="Payment Method" sheetId="6" state="hidden" r:id="rId3"/>
    <sheet name="top 10 cities" sheetId="7" state="hidden" r:id="rId4"/>
    <sheet name="Product buy m and f" sheetId="8" state="hidden" r:id="rId5"/>
    <sheet name="Sheet1" sheetId="1" state="hidden" r:id="rId6"/>
    <sheet name="Chart " sheetId="3" r:id="rId7"/>
  </sheets>
  <definedNames>
    <definedName name="_xlnm._FilterDatabase" localSheetId="6" hidden="1">'Chart '!$I$14:$I$14</definedName>
    <definedName name="Slicer_AGE">#N/A</definedName>
    <definedName name="Slicer_BRAND">#N/A</definedName>
    <definedName name="Slicer_PAYMENT_METHOD">#N/A</definedName>
    <definedName name="Slicer_PAYMENT_METHOD1">#N/A</definedName>
    <definedName name="Slicer_PRDUCT">#N/A</definedName>
    <definedName name="Slicer_QUANTITY">#N/A</definedName>
    <definedName name="Slicer_SIZE">#N/A</definedName>
    <definedName name="Slicer_SIZE1">#N/A</definedName>
  </definedNames>
  <calcPr calcId="191028"/>
  <pivotCaches>
    <pivotCache cacheId="906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5"/>
        <x14:slicerCache r:id="rId1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4" l="1"/>
  <c r="G2" i="4"/>
  <c r="H2" i="4" s="1"/>
  <c r="F2" i="4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</calcChain>
</file>

<file path=xl/sharedStrings.xml><?xml version="1.0" encoding="utf-8"?>
<sst xmlns="http://schemas.openxmlformats.org/spreadsheetml/2006/main" count="2009" uniqueCount="581">
  <si>
    <t xml:space="preserve">TOTAL SALES </t>
  </si>
  <si>
    <t>TOTAL QUANTITY</t>
  </si>
  <si>
    <t>TOTAL ORDERS</t>
  </si>
  <si>
    <t>AVERAGE ORDER VALUE</t>
  </si>
  <si>
    <t xml:space="preserve">PRDUCT </t>
  </si>
  <si>
    <t>BRAND</t>
  </si>
  <si>
    <t xml:space="preserve">Sum of TOTAL AMOUNT </t>
  </si>
  <si>
    <t>Sum of QUANTITY</t>
  </si>
  <si>
    <t>Cap</t>
  </si>
  <si>
    <t>ClassicWear</t>
  </si>
  <si>
    <t>CottonClub</t>
  </si>
  <si>
    <t>DailyStyle</t>
  </si>
  <si>
    <t>DenimZone</t>
  </si>
  <si>
    <t>Elegance</t>
  </si>
  <si>
    <t>EliteWear</t>
  </si>
  <si>
    <t>FashionHub</t>
  </si>
  <si>
    <t>FashionPoint</t>
  </si>
  <si>
    <t>ModernFit</t>
  </si>
  <si>
    <t>RoyalThreads</t>
  </si>
  <si>
    <t>SmartThreads</t>
  </si>
  <si>
    <t>StreetStyle</t>
  </si>
  <si>
    <t>StyleCraft</t>
  </si>
  <si>
    <t>StyleNest</t>
  </si>
  <si>
    <t>TrendWear</t>
  </si>
  <si>
    <t>TrendyLook</t>
  </si>
  <si>
    <t>UrbanEdge</t>
  </si>
  <si>
    <t>UrbanStyle</t>
  </si>
  <si>
    <t>UrbanVibe</t>
  </si>
  <si>
    <t>VogueWear</t>
  </si>
  <si>
    <t>Cap Total</t>
  </si>
  <si>
    <t>Jeans</t>
  </si>
  <si>
    <t>Jeans Total</t>
  </si>
  <si>
    <t>Kurta</t>
  </si>
  <si>
    <t>Kurta Total</t>
  </si>
  <si>
    <t>Lower</t>
  </si>
  <si>
    <t>Lower Total</t>
  </si>
  <si>
    <t>Saree</t>
  </si>
  <si>
    <t>Saree Total</t>
  </si>
  <si>
    <t>Shirt</t>
  </si>
  <si>
    <t>Shirt Total</t>
  </si>
  <si>
    <t>Suit</t>
  </si>
  <si>
    <t>Suit Total</t>
  </si>
  <si>
    <t>Top</t>
  </si>
  <si>
    <t>Top Total</t>
  </si>
  <si>
    <t>T-Shirt</t>
  </si>
  <si>
    <t>T-Shirt Total</t>
  </si>
  <si>
    <t>Grand Total</t>
  </si>
  <si>
    <t>GENDER</t>
  </si>
  <si>
    <t>Female</t>
  </si>
  <si>
    <t>Male</t>
  </si>
  <si>
    <t>Other</t>
  </si>
  <si>
    <t xml:space="preserve">PAYMENT METHOD </t>
  </si>
  <si>
    <t>COD</t>
  </si>
  <si>
    <t>Credit Card</t>
  </si>
  <si>
    <t>Debit Card</t>
  </si>
  <si>
    <t>Net Banking</t>
  </si>
  <si>
    <t>UPI</t>
  </si>
  <si>
    <t>Wallet</t>
  </si>
  <si>
    <t>CITY</t>
  </si>
  <si>
    <t>SIZE</t>
  </si>
  <si>
    <t>Ahmedabad</t>
  </si>
  <si>
    <t>L</t>
  </si>
  <si>
    <t>M</t>
  </si>
  <si>
    <t>Ahmedabad Total</t>
  </si>
  <si>
    <t>Ajmer</t>
  </si>
  <si>
    <t>XL</t>
  </si>
  <si>
    <t>Ajmer Total</t>
  </si>
  <si>
    <t>Cuttack</t>
  </si>
  <si>
    <t>S</t>
  </si>
  <si>
    <t>Cuttack Total</t>
  </si>
  <si>
    <t>Delhi</t>
  </si>
  <si>
    <t>XXL</t>
  </si>
  <si>
    <t>Delhi Total</t>
  </si>
  <si>
    <t>Kota</t>
  </si>
  <si>
    <t>Kota Total</t>
  </si>
  <si>
    <t>Kozhikode</t>
  </si>
  <si>
    <t>Kozhikode Total</t>
  </si>
  <si>
    <t>Patna</t>
  </si>
  <si>
    <t>Patna Total</t>
  </si>
  <si>
    <t>Raipur</t>
  </si>
  <si>
    <t>Raipur Total</t>
  </si>
  <si>
    <t>Srinagar</t>
  </si>
  <si>
    <t>Srinagar Total</t>
  </si>
  <si>
    <t>Udaipur</t>
  </si>
  <si>
    <t>Udaipur Total</t>
  </si>
  <si>
    <t>Count of BRAND</t>
  </si>
  <si>
    <t xml:space="preserve">S.NO </t>
  </si>
  <si>
    <t xml:space="preserve">CUSTOMER ID </t>
  </si>
  <si>
    <t xml:space="preserve">ORDER DATE </t>
  </si>
  <si>
    <t>AGE</t>
  </si>
  <si>
    <t>NAME</t>
  </si>
  <si>
    <t>COLOR</t>
  </si>
  <si>
    <t>QUANTITY</t>
  </si>
  <si>
    <t>PRICE UNIT</t>
  </si>
  <si>
    <t xml:space="preserve">TOTAL AMOUNT </t>
  </si>
  <si>
    <t>Aarav Sharma</t>
  </si>
  <si>
    <t>Black</t>
  </si>
  <si>
    <t>17-03-2026</t>
  </si>
  <si>
    <t>Vivaan Gupta</t>
  </si>
  <si>
    <t>Mumbai</t>
  </si>
  <si>
    <t>White</t>
  </si>
  <si>
    <t>22-07-2026</t>
  </si>
  <si>
    <t>Aditya Verma</t>
  </si>
  <si>
    <t>Bengaluru</t>
  </si>
  <si>
    <t>Blue</t>
  </si>
  <si>
    <t>Arjun Mehta</t>
  </si>
  <si>
    <t>Hyderabad</t>
  </si>
  <si>
    <t>Red</t>
  </si>
  <si>
    <t>13-11-2026</t>
  </si>
  <si>
    <t>Reyansh Kumar</t>
  </si>
  <si>
    <t>Green</t>
  </si>
  <si>
    <t>28-05-2026</t>
  </si>
  <si>
    <t>Krishna Singh</t>
  </si>
  <si>
    <t>Yellow</t>
  </si>
  <si>
    <t>Ishaan Malhotra</t>
  </si>
  <si>
    <t>Kolkata</t>
  </si>
  <si>
    <t>Pink</t>
  </si>
  <si>
    <t>21-12-2026</t>
  </si>
  <si>
    <t>Kabir Joshi</t>
  </si>
  <si>
    <t>Pune</t>
  </si>
  <si>
    <t>Grey</t>
  </si>
  <si>
    <t>15-04-2026</t>
  </si>
  <si>
    <t>Rohan Kapoor</t>
  </si>
  <si>
    <t>Jaipur</t>
  </si>
  <si>
    <t>Navy Blue</t>
  </si>
  <si>
    <t>31-08-2026</t>
  </si>
  <si>
    <t>Ayaan Khan</t>
  </si>
  <si>
    <t>Lucknow</t>
  </si>
  <si>
    <t>Maroon</t>
  </si>
  <si>
    <t>Dhruv Agarwal</t>
  </si>
  <si>
    <t>Kanpur</t>
  </si>
  <si>
    <t>Aryan Bansal</t>
  </si>
  <si>
    <t>Nagpur</t>
  </si>
  <si>
    <t>26-01-2026</t>
  </si>
  <si>
    <t>Yash Thakur</t>
  </si>
  <si>
    <t>Indore</t>
  </si>
  <si>
    <t>Sky Blue</t>
  </si>
  <si>
    <t>Kunal Saini</t>
  </si>
  <si>
    <t>Bhopal</t>
  </si>
  <si>
    <t>Dark Blue</t>
  </si>
  <si>
    <t>29-03-2026</t>
  </si>
  <si>
    <t>Mohit Arora</t>
  </si>
  <si>
    <t>Rahul Chawla</t>
  </si>
  <si>
    <t>14-05-2026</t>
  </si>
  <si>
    <t>Ankit Tiwari</t>
  </si>
  <si>
    <t>Vadodara</t>
  </si>
  <si>
    <t>Purple</t>
  </si>
  <si>
    <t>19-09-2026</t>
  </si>
  <si>
    <t>Nikhil Jain</t>
  </si>
  <si>
    <t>Agra</t>
  </si>
  <si>
    <t>22-02-2026</t>
  </si>
  <si>
    <t>Varun Saxena</t>
  </si>
  <si>
    <t>Beige</t>
  </si>
  <si>
    <t>Manish Goel</t>
  </si>
  <si>
    <t>Ludhiana</t>
  </si>
  <si>
    <t>Brown</t>
  </si>
  <si>
    <t>Sahil Khanna</t>
  </si>
  <si>
    <t>Amritsar</t>
  </si>
  <si>
    <t>16-08-2026</t>
  </si>
  <si>
    <t>Rajat Mittal</t>
  </si>
  <si>
    <t>Chandigarh</t>
  </si>
  <si>
    <t>27-06-2026</t>
  </si>
  <si>
    <t>Akash Yadav</t>
  </si>
  <si>
    <t>Noida</t>
  </si>
  <si>
    <t>18-10-2026</t>
  </si>
  <si>
    <t>Vikas Sharma</t>
  </si>
  <si>
    <t>Gurugram</t>
  </si>
  <si>
    <t>Abhishek Gupta</t>
  </si>
  <si>
    <t>Faridabad</t>
  </si>
  <si>
    <t>31-07-2026</t>
  </si>
  <si>
    <t>Deepak Verma</t>
  </si>
  <si>
    <t>Ghaziabad</t>
  </si>
  <si>
    <t>Sumit Mehta</t>
  </si>
  <si>
    <t>Meerut</t>
  </si>
  <si>
    <t>14-12-2026</t>
  </si>
  <si>
    <t>Amit Kumar</t>
  </si>
  <si>
    <t>Nashik</t>
  </si>
  <si>
    <t>Ravi Singh</t>
  </si>
  <si>
    <t>Rajkot</t>
  </si>
  <si>
    <t>25-09-2026</t>
  </si>
  <si>
    <t>Naveen Malhotra</t>
  </si>
  <si>
    <t>Ranchi</t>
  </si>
  <si>
    <t>16-02-2026</t>
  </si>
  <si>
    <t>Piyush Joshi</t>
  </si>
  <si>
    <t>Dehradun</t>
  </si>
  <si>
    <t>29-11-2026</t>
  </si>
  <si>
    <t>Harsh Kapoor</t>
  </si>
  <si>
    <t>Kochi</t>
  </si>
  <si>
    <t>21-04-2026</t>
  </si>
  <si>
    <t>Tarun Khan</t>
  </si>
  <si>
    <t>Coimbatore</t>
  </si>
  <si>
    <t>Gaurav Agarwal</t>
  </si>
  <si>
    <t>Mysuru</t>
  </si>
  <si>
    <t>19-06-2026</t>
  </si>
  <si>
    <t>Saurabh Bansal</t>
  </si>
  <si>
    <t>Jodhpur</t>
  </si>
  <si>
    <t>Manav Thakur</t>
  </si>
  <si>
    <t>30-01-2026</t>
  </si>
  <si>
    <t>Rishabh Saini</t>
  </si>
  <si>
    <t>15-07-2026</t>
  </si>
  <si>
    <t>Ayush Arora</t>
  </si>
  <si>
    <t>Allahabad</t>
  </si>
  <si>
    <t>24-03-2026</t>
  </si>
  <si>
    <t>Shubham Chawla</t>
  </si>
  <si>
    <t>Prayagraj</t>
  </si>
  <si>
    <t>Vivek Tiwari</t>
  </si>
  <si>
    <t>Gwalior</t>
  </si>
  <si>
    <t>19-05-2026</t>
  </si>
  <si>
    <t>Pranav Jain</t>
  </si>
  <si>
    <t>Jabalpur</t>
  </si>
  <si>
    <t>Ritesh Saxena</t>
  </si>
  <si>
    <t>Sachin Goel</t>
  </si>
  <si>
    <t>Bhubaneswar</t>
  </si>
  <si>
    <t>18-11-2026</t>
  </si>
  <si>
    <t>Varun Khanna</t>
  </si>
  <si>
    <t>Rohit Mittal</t>
  </si>
  <si>
    <t>Guwahati</t>
  </si>
  <si>
    <t>28-08-2026</t>
  </si>
  <si>
    <t>Anurag Yadav</t>
  </si>
  <si>
    <t>Karan Sharma</t>
  </si>
  <si>
    <t>Jammu</t>
  </si>
  <si>
    <t>26-10-2026</t>
  </si>
  <si>
    <t>Dev Gupta</t>
  </si>
  <si>
    <t>Shimla</t>
  </si>
  <si>
    <t>18-01-2026</t>
  </si>
  <si>
    <t>Mukul Verma</t>
  </si>
  <si>
    <t>Haridwar</t>
  </si>
  <si>
    <t>Siddharth Mehta</t>
  </si>
  <si>
    <t>Rohtak</t>
  </si>
  <si>
    <t>13-03-2026</t>
  </si>
  <si>
    <t>Raj Kumar</t>
  </si>
  <si>
    <t>Hisar</t>
  </si>
  <si>
    <t>27-12-2026</t>
  </si>
  <si>
    <t>Aman Singh</t>
  </si>
  <si>
    <t>Panipat</t>
  </si>
  <si>
    <t>Himanshu Malhotra</t>
  </si>
  <si>
    <t>Sonipat</t>
  </si>
  <si>
    <t>30-09-2026</t>
  </si>
  <si>
    <t>Akshay Joshi</t>
  </si>
  <si>
    <t>Karnal</t>
  </si>
  <si>
    <t>28-02-2026</t>
  </si>
  <si>
    <t>Nitin Kapoor</t>
  </si>
  <si>
    <t>Bathinda</t>
  </si>
  <si>
    <t>Jatin Khan</t>
  </si>
  <si>
    <t>Jalandhar</t>
  </si>
  <si>
    <t>17-04-2026</t>
  </si>
  <si>
    <t>Lokesh Agarwal</t>
  </si>
  <si>
    <t>Patiala</t>
  </si>
  <si>
    <t>Mayank Bansal</t>
  </si>
  <si>
    <t>24-06-2026</t>
  </si>
  <si>
    <t>Nikhil Thakur</t>
  </si>
  <si>
    <t>Mohali</t>
  </si>
  <si>
    <t>Suresh Saini</t>
  </si>
  <si>
    <t>Ambala</t>
  </si>
  <si>
    <t>Ramesh Arora</t>
  </si>
  <si>
    <t>Yamunanagar</t>
  </si>
  <si>
    <t>26-07-2026</t>
  </si>
  <si>
    <t>Dinesh Chawla</t>
  </si>
  <si>
    <t>Kurukshetra</t>
  </si>
  <si>
    <t>Pankaj Tiwari</t>
  </si>
  <si>
    <t>Rewari</t>
  </si>
  <si>
    <t>19-12-2026</t>
  </si>
  <si>
    <t>Vijay Jain</t>
  </si>
  <si>
    <t>Bahadurgarh</t>
  </si>
  <si>
    <t>23-05-2026</t>
  </si>
  <si>
    <t>Ajay Saxena</t>
  </si>
  <si>
    <t>Bhiwani</t>
  </si>
  <si>
    <t>Rakesh Goel</t>
  </si>
  <si>
    <t>Sirsa</t>
  </si>
  <si>
    <t>13-02-2026</t>
  </si>
  <si>
    <t>Ashish Khanna</t>
  </si>
  <si>
    <t>Firozabad</t>
  </si>
  <si>
    <t>24-11-2026</t>
  </si>
  <si>
    <t>Ravi Mittal</t>
  </si>
  <si>
    <t>Mathura</t>
  </si>
  <si>
    <t>28-04-2026</t>
  </si>
  <si>
    <t>Sameer Yadav</t>
  </si>
  <si>
    <t>Aligarh</t>
  </si>
  <si>
    <t>Varun Sharma</t>
  </si>
  <si>
    <t>Bareilly</t>
  </si>
  <si>
    <t>15-06-2026</t>
  </si>
  <si>
    <t>Kartik Gupta</t>
  </si>
  <si>
    <t>Moradabad</t>
  </si>
  <si>
    <t>17-10-2026</t>
  </si>
  <si>
    <t>Harshit Verma</t>
  </si>
  <si>
    <t>Saharanpur</t>
  </si>
  <si>
    <t>22-01-2026</t>
  </si>
  <si>
    <t>Anmol Mehta</t>
  </si>
  <si>
    <t>Gorakhpur</t>
  </si>
  <si>
    <t>Tushar Kumar</t>
  </si>
  <si>
    <t>Jhansi</t>
  </si>
  <si>
    <t>31-03-2026</t>
  </si>
  <si>
    <t>Shivam Singh</t>
  </si>
  <si>
    <t>Ayodhya</t>
  </si>
  <si>
    <t>Yuvraj Malhotra</t>
  </si>
  <si>
    <t>Parth Joshi</t>
  </si>
  <si>
    <t>Muzaffarnagar</t>
  </si>
  <si>
    <t>21-09-2026</t>
  </si>
  <si>
    <t>Lakshay Kapoor</t>
  </si>
  <si>
    <t>Hapur</t>
  </si>
  <si>
    <t>24-02-2026</t>
  </si>
  <si>
    <t>Keshav Khan</t>
  </si>
  <si>
    <t>Bulandshahr</t>
  </si>
  <si>
    <t>Akhil Agarwal</t>
  </si>
  <si>
    <t>Chirag Bansal</t>
  </si>
  <si>
    <t>Alwar</t>
  </si>
  <si>
    <t>25-08-2026</t>
  </si>
  <si>
    <t>Devansh Thakur</t>
  </si>
  <si>
    <t>29-06-2026</t>
  </si>
  <si>
    <t>Naman Saini</t>
  </si>
  <si>
    <t>Bikaner</t>
  </si>
  <si>
    <t>Prateek Arora</t>
  </si>
  <si>
    <t>15-01-2026</t>
  </si>
  <si>
    <t>Nakul Chawla</t>
  </si>
  <si>
    <t>Bharatpur</t>
  </si>
  <si>
    <t>19-07-2026</t>
  </si>
  <si>
    <t>Atul Tiwari</t>
  </si>
  <si>
    <t>27-03-2026</t>
  </si>
  <si>
    <t>Sanjay Jain</t>
  </si>
  <si>
    <t>Bhilwara</t>
  </si>
  <si>
    <t>23-12-2026</t>
  </si>
  <si>
    <t>Rajesh Saxena</t>
  </si>
  <si>
    <t>Mahesh Goel</t>
  </si>
  <si>
    <t>Jaisalmer</t>
  </si>
  <si>
    <t>14-09-2026</t>
  </si>
  <si>
    <t>Vikram Khanna</t>
  </si>
  <si>
    <t>Barmer</t>
  </si>
  <si>
    <t>Naresh Mittal</t>
  </si>
  <si>
    <t>Pali</t>
  </si>
  <si>
    <t>20-11-2026</t>
  </si>
  <si>
    <t>Suraj Yadav</t>
  </si>
  <si>
    <t>Chittorgarh</t>
  </si>
  <si>
    <t>Rajat Sharma</t>
  </si>
  <si>
    <t>18-08-2026</t>
  </si>
  <si>
    <t>Rohit Gupta</t>
  </si>
  <si>
    <t>Mangaluru</t>
  </si>
  <si>
    <t>Abhinav Verma</t>
  </si>
  <si>
    <t>Hubballi</t>
  </si>
  <si>
    <t>29-10-2026</t>
  </si>
  <si>
    <t>Kushal Mehta</t>
  </si>
  <si>
    <t>Belagavi</t>
  </si>
  <si>
    <t>28-01-2026</t>
  </si>
  <si>
    <t>Raghav Kumar</t>
  </si>
  <si>
    <t>Davangere</t>
  </si>
  <si>
    <t>Madhav Singh</t>
  </si>
  <si>
    <t>Tumakuru</t>
  </si>
  <si>
    <t>19-03-2026</t>
  </si>
  <si>
    <t>Shrey Malhotra</t>
  </si>
  <si>
    <t>Ballari</t>
  </si>
  <si>
    <t>Aaryan Joshi</t>
  </si>
  <si>
    <t>Shivamogga</t>
  </si>
  <si>
    <t>26-05-2026</t>
  </si>
  <si>
    <t>Vihaan Kapoor</t>
  </si>
  <si>
    <t>Hassan</t>
  </si>
  <si>
    <t>Rudra Khan</t>
  </si>
  <si>
    <t>Udupi</t>
  </si>
  <si>
    <t>19-02-2026</t>
  </si>
  <si>
    <t>Shaurya Agarwal</t>
  </si>
  <si>
    <t>Chennai</t>
  </si>
  <si>
    <t>Atharv Bansal</t>
  </si>
  <si>
    <t>Madurai</t>
  </si>
  <si>
    <t>24-04-2026</t>
  </si>
  <si>
    <t>Adit Thakur</t>
  </si>
  <si>
    <t>Salem</t>
  </si>
  <si>
    <t>Tanmay Saini</t>
  </si>
  <si>
    <t>Tiruchirappalli</t>
  </si>
  <si>
    <t>21-06-2026</t>
  </si>
  <si>
    <t>Darsh Arora</t>
  </si>
  <si>
    <t>Tirunelveli</t>
  </si>
  <si>
    <t>14-10-2026</t>
  </si>
  <si>
    <t>Vedant Chawla</t>
  </si>
  <si>
    <t>Vellore</t>
  </si>
  <si>
    <t>Parth Tiwari</t>
  </si>
  <si>
    <t>Erode</t>
  </si>
  <si>
    <t>28-07-2026</t>
  </si>
  <si>
    <t>Abeer Jain</t>
  </si>
  <si>
    <t>Thoothukudi</t>
  </si>
  <si>
    <t>Aarush Saxena</t>
  </si>
  <si>
    <t>Dindigul</t>
  </si>
  <si>
    <t>29-12-2026</t>
  </si>
  <si>
    <t>Rehaan Goel</t>
  </si>
  <si>
    <t>Thanjavur</t>
  </si>
  <si>
    <t>17-05-2026</t>
  </si>
  <si>
    <t>Arnav Khanna</t>
  </si>
  <si>
    <t>27-09-2026</t>
  </si>
  <si>
    <t>Dhruv Mittal</t>
  </si>
  <si>
    <t>Ritvik Yadav</t>
  </si>
  <si>
    <t>Thrissur</t>
  </si>
  <si>
    <t>15-11-2026</t>
  </si>
  <si>
    <t>Advait Sharma</t>
  </si>
  <si>
    <t>Kollam</t>
  </si>
  <si>
    <t>Avi Gupta</t>
  </si>
  <si>
    <t>Kannur</t>
  </si>
  <si>
    <t>22-08-2026</t>
  </si>
  <si>
    <t>Riaan Verma</t>
  </si>
  <si>
    <t>Alappuzha</t>
  </si>
  <si>
    <t>13-06-2026</t>
  </si>
  <si>
    <t>Neil Mehta</t>
  </si>
  <si>
    <t>Kottayam</t>
  </si>
  <si>
    <t>21-10-2026</t>
  </si>
  <si>
    <t>Kabir Kumar</t>
  </si>
  <si>
    <t>Palakkad</t>
  </si>
  <si>
    <t>24-01-2026</t>
  </si>
  <si>
    <t>Rudransh Singh</t>
  </si>
  <si>
    <t>Malappuram</t>
  </si>
  <si>
    <t>Aayush Malhotra</t>
  </si>
  <si>
    <t>16-03-2026</t>
  </si>
  <si>
    <t>Kiaan Joshi</t>
  </si>
  <si>
    <t>Veer Kapoor</t>
  </si>
  <si>
    <t>30-05-2026</t>
  </si>
  <si>
    <t>Krish Khan</t>
  </si>
  <si>
    <t>Aarav Agarwal</t>
  </si>
  <si>
    <t>Aurangabad</t>
  </si>
  <si>
    <t>26-02-2026</t>
  </si>
  <si>
    <t>Vihaan Bansal</t>
  </si>
  <si>
    <t>Kolhapur</t>
  </si>
  <si>
    <t>Vivaan Thakur</t>
  </si>
  <si>
    <t>Solapur</t>
  </si>
  <si>
    <t>19-04-2026</t>
  </si>
  <si>
    <t>Ivaan Saini</t>
  </si>
  <si>
    <t>Amravati</t>
  </si>
  <si>
    <t>14-08-2026</t>
  </si>
  <si>
    <t>Arham Arora</t>
  </si>
  <si>
    <t>Nanded</t>
  </si>
  <si>
    <t>Zayan Chawla</t>
  </si>
  <si>
    <t>Satara</t>
  </si>
  <si>
    <t>Rayyan Tiwari</t>
  </si>
  <si>
    <t>Reyansh Jain</t>
  </si>
  <si>
    <t>Howrah</t>
  </si>
  <si>
    <t>24-07-2026</t>
  </si>
  <si>
    <t>Ahaan Saxena</t>
  </si>
  <si>
    <t>Durgapur</t>
  </si>
  <si>
    <t>Aarush Goel</t>
  </si>
  <si>
    <t>Asansol</t>
  </si>
  <si>
    <t>16-12-2026</t>
  </si>
  <si>
    <t>Atharv Khanna</t>
  </si>
  <si>
    <t>Siliguri</t>
  </si>
  <si>
    <t>Ansh Mittal</t>
  </si>
  <si>
    <t>Kharagpur</t>
  </si>
  <si>
    <t>23-09-2026</t>
  </si>
  <si>
    <t>Anshul Yadav</t>
  </si>
  <si>
    <t>Darjeeling</t>
  </si>
  <si>
    <t>Harsh Sharma</t>
  </si>
  <si>
    <t>Malda</t>
  </si>
  <si>
    <t>27-11-2026</t>
  </si>
  <si>
    <t>Hritik Gupta</t>
  </si>
  <si>
    <t>Karan Verma</t>
  </si>
  <si>
    <t>Jamshedpur</t>
  </si>
  <si>
    <t>30-08-2026</t>
  </si>
  <si>
    <t>Manav Mehta</t>
  </si>
  <si>
    <t>Dhanbad</t>
  </si>
  <si>
    <t>18-06-2026</t>
  </si>
  <si>
    <t>Rishit Kumar</t>
  </si>
  <si>
    <t>Bokaro</t>
  </si>
  <si>
    <t>Rishabh Singh</t>
  </si>
  <si>
    <t>Deoghar</t>
  </si>
  <si>
    <t>20-01-2026</t>
  </si>
  <si>
    <t>Shiv Malhotra</t>
  </si>
  <si>
    <t>Hazaribagh</t>
  </si>
  <si>
    <t>13-07-2026</t>
  </si>
  <si>
    <t>Shivansh Joshi</t>
  </si>
  <si>
    <t>25-03-2026</t>
  </si>
  <si>
    <t>Aayush Kapoor</t>
  </si>
  <si>
    <t>Gaya</t>
  </si>
  <si>
    <t>Ayansh Khan</t>
  </si>
  <si>
    <t>Bhagalpur</t>
  </si>
  <si>
    <t>21-05-2026</t>
  </si>
  <si>
    <t>Divyansh Agarwal</t>
  </si>
  <si>
    <t>Muzaffarpur</t>
  </si>
  <si>
    <t>Divit Bansal</t>
  </si>
  <si>
    <t>Darbhanga</t>
  </si>
  <si>
    <t>21-02-2026</t>
  </si>
  <si>
    <t>Purnia</t>
  </si>
  <si>
    <t>Yatin Saini</t>
  </si>
  <si>
    <t>26-04-2026</t>
  </si>
  <si>
    <t>Yuvik Arora</t>
  </si>
  <si>
    <t>Laksh Chawla</t>
  </si>
  <si>
    <t>26-06-2026</t>
  </si>
  <si>
    <t>Lakshit Tiwari</t>
  </si>
  <si>
    <t>19-10-2026</t>
  </si>
  <si>
    <t>Kartik Jain</t>
  </si>
  <si>
    <t>Kushagra Saxena</t>
  </si>
  <si>
    <t>29-07-2026</t>
  </si>
  <si>
    <t>Kunal Goel</t>
  </si>
  <si>
    <t>Manthan Khanna</t>
  </si>
  <si>
    <t>25-12-2026</t>
  </si>
  <si>
    <t>Moksh Mittal</t>
  </si>
  <si>
    <t>13-05-2026</t>
  </si>
  <si>
    <t>Pratham Yadav</t>
  </si>
  <si>
    <t>17-09-2026</t>
  </si>
  <si>
    <t>Pratyush Sharma</t>
  </si>
  <si>
    <t>Ranveer Gupta</t>
  </si>
  <si>
    <t>Surat</t>
  </si>
  <si>
    <t>22-11-2026</t>
  </si>
  <si>
    <t>Rudra Verma</t>
  </si>
  <si>
    <t>14-04-2026</t>
  </si>
  <si>
    <t>Samarth Mehta</t>
  </si>
  <si>
    <t>20-08-2026</t>
  </si>
  <si>
    <t>Samar Kumar</t>
  </si>
  <si>
    <t>Bhavnagar</t>
  </si>
  <si>
    <t>Sarthak Singh</t>
  </si>
  <si>
    <t>Jamnagar</t>
  </si>
  <si>
    <t>Shaurya Malhotra</t>
  </si>
  <si>
    <t>Gandhinagar</t>
  </si>
  <si>
    <t>31-01-2026</t>
  </si>
  <si>
    <t>Shivam Joshi</t>
  </si>
  <si>
    <t>Anand</t>
  </si>
  <si>
    <t>18-07-2026</t>
  </si>
  <si>
    <t>Tejas Kapoor</t>
  </si>
  <si>
    <t>Junagadh</t>
  </si>
  <si>
    <t>21-03-2026</t>
  </si>
  <si>
    <t>Utsav Khan</t>
  </si>
  <si>
    <t>13-12-2026</t>
  </si>
  <si>
    <t>Vansh Agarwal</t>
  </si>
  <si>
    <t>Varad Bansal</t>
  </si>
  <si>
    <t>s</t>
  </si>
  <si>
    <t>29-09-2026</t>
  </si>
  <si>
    <t>Ved Thakur</t>
  </si>
  <si>
    <t>14-02-2026</t>
  </si>
  <si>
    <t>Vihan Saini</t>
  </si>
  <si>
    <t>Ujjain</t>
  </si>
  <si>
    <t>Vivaan Arora</t>
  </si>
  <si>
    <t>Sagar</t>
  </si>
  <si>
    <t>22-04-2026</t>
  </si>
  <si>
    <t>Yashvardhan Chawla</t>
  </si>
  <si>
    <t>Satna</t>
  </si>
  <si>
    <t>Zaid Tiwari</t>
  </si>
  <si>
    <t>Ratlam</t>
  </si>
  <si>
    <t>Zoravar Jain</t>
  </si>
  <si>
    <t>Rewa</t>
  </si>
  <si>
    <t>23-10-2026</t>
  </si>
  <si>
    <t>Aakash Saxena</t>
  </si>
  <si>
    <t>17-01-2026</t>
  </si>
  <si>
    <t>Aman Goel</t>
  </si>
  <si>
    <t>Bilaspur</t>
  </si>
  <si>
    <t>Anirudh Khanna</t>
  </si>
  <si>
    <t>Durg</t>
  </si>
  <si>
    <t>30-03-2026</t>
  </si>
  <si>
    <t>Korba</t>
  </si>
  <si>
    <t>Arpit Yadav</t>
  </si>
  <si>
    <t>Bhilai</t>
  </si>
  <si>
    <t>25-05-2026</t>
  </si>
  <si>
    <t>Bhavesh Sharma</t>
  </si>
  <si>
    <t>Chetan Gupta</t>
  </si>
  <si>
    <t>23-02-2026</t>
  </si>
  <si>
    <t>Darshan Verma</t>
  </si>
  <si>
    <t>Rourkela</t>
  </si>
  <si>
    <t>16-11-2026</t>
  </si>
  <si>
    <t>Eshan Mehta</t>
  </si>
  <si>
    <t>Puri</t>
  </si>
  <si>
    <t>Gagan Kumar</t>
  </si>
  <si>
    <t>Berhampur</t>
  </si>
  <si>
    <t>27-08-2026</t>
  </si>
  <si>
    <t>Hemant Singh</t>
  </si>
  <si>
    <t>23-06-2026</t>
  </si>
  <si>
    <t>Jai Malhotra</t>
  </si>
  <si>
    <t>Dibrugarh</t>
  </si>
  <si>
    <t>Kamal Joshi</t>
  </si>
  <si>
    <t>Silchar</t>
  </si>
  <si>
    <t>Lalit Kapoor</t>
  </si>
  <si>
    <t>Shillong</t>
  </si>
  <si>
    <t>Mandeep Khan</t>
  </si>
  <si>
    <t>Naveen Agarwal</t>
  </si>
  <si>
    <t>Om Bansal</t>
  </si>
  <si>
    <t>19/8/2026</t>
  </si>
  <si>
    <t>Raghav Thakur</t>
  </si>
  <si>
    <t>Rajat Saini</t>
  </si>
  <si>
    <t>Samar Arora</t>
  </si>
  <si>
    <t>Bhiwami</t>
  </si>
  <si>
    <t>16/02/2026</t>
  </si>
  <si>
    <t>Sandeep Chawla</t>
  </si>
  <si>
    <t>Santkabeernagar</t>
  </si>
  <si>
    <t>Sahil Enterprises Annual Report 2026</t>
  </si>
  <si>
    <t>Credit Card Total</t>
  </si>
  <si>
    <t>Debit Card Total</t>
  </si>
  <si>
    <t>Net Banking Total</t>
  </si>
  <si>
    <t>UPI Total</t>
  </si>
  <si>
    <t>Wallet Total</t>
  </si>
  <si>
    <t>Female Total</t>
  </si>
  <si>
    <t>COD Total</t>
  </si>
  <si>
    <t>Male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</si>
</sst>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₹-4009]\ #,##0.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rgb="FF0D0D0D"/>
      <name val="Courier New"/>
      <charset val="1"/>
    </font>
    <font>
      <b/>
      <sz val="16"/>
      <color theme="1"/>
      <name val="Angsana New"/>
    </font>
    <font>
      <sz val="12"/>
      <color rgb="FF0D0D0D"/>
      <name val="Calibri"/>
      <scheme val="minor"/>
    </font>
    <font>
      <b/>
      <sz val="16"/>
      <color theme="0"/>
      <name val="Angsana New"/>
    </font>
    <font>
      <b/>
      <sz val="24"/>
      <color theme="0"/>
      <name val="Calibri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10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4" borderId="0" xfId="0" applyFont="1" applyFill="1"/>
    <xf numFmtId="0" fontId="12" fillId="4" borderId="0" xfId="0" applyFont="1" applyFill="1" applyBorder="1"/>
    <xf numFmtId="0" fontId="12" fillId="4" borderId="0" xfId="0" applyNumberFormat="1" applyFont="1" applyFill="1" applyBorder="1"/>
    <xf numFmtId="0" fontId="11" fillId="5" borderId="0" xfId="0" applyFont="1" applyFill="1"/>
    <xf numFmtId="0" fontId="7" fillId="5" borderId="0" xfId="0" applyFont="1" applyFill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8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61"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Calibri"/>
        <scheme val="minor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d\-mmm\-yy;@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scheme val="none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0"/>
      </font>
      <fill>
        <patternFill patternType="solid">
          <bgColor rgb="FFEB54BB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8"/>
        </patternFill>
      </fill>
    </dxf>
    <dxf>
      <font>
        <b/>
        <i val="0"/>
        <color rgb="FF9C0006"/>
      </font>
      <fill>
        <patternFill patternType="solid">
          <bgColor theme="7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</dxfs>
  <tableStyles count="0" defaultTableStyle="TableStyleMedium2" defaultPivotStyle="PivotStyleMedium9"/>
  <colors>
    <mruColors>
      <color rgb="FFF0601D"/>
      <color rgb="FFE2AFED"/>
      <color rgb="FFEB54BB"/>
      <color rgb="FFE83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7.xml"/><Relationship Id="rId10" Type="http://schemas.microsoft.com/office/2007/relationships/slicerCache" Target="slicerCaches/slicerCache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[Book.xlsx]Sales vs Orders!PivotTable3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vs Orders'!$C$3</c:f>
              <c:strCache>
                <c:ptCount val="1"/>
                <c:pt idx="0">
                  <c:v>Sum of TOTAL 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vs Orders'!$A$4:$B$156</c:f>
              <c:multiLvlStrCache>
                <c:ptCount val="143"/>
                <c:lvl>
                  <c:pt idx="0">
                    <c:v>ClassicWear</c:v>
                  </c:pt>
                  <c:pt idx="1">
                    <c:v>CottonClub</c:v>
                  </c:pt>
                  <c:pt idx="2">
                    <c:v>DailyStyle</c:v>
                  </c:pt>
                  <c:pt idx="3">
                    <c:v>DenimZone</c:v>
                  </c:pt>
                  <c:pt idx="4">
                    <c:v>Elegance</c:v>
                  </c:pt>
                  <c:pt idx="5">
                    <c:v>EliteWear</c:v>
                  </c:pt>
                  <c:pt idx="6">
                    <c:v>FashionHub</c:v>
                  </c:pt>
                  <c:pt idx="7">
                    <c:v>FashionPoint</c:v>
                  </c:pt>
                  <c:pt idx="8">
                    <c:v>ModernFit</c:v>
                  </c:pt>
                  <c:pt idx="9">
                    <c:v>RoyalThreads</c:v>
                  </c:pt>
                  <c:pt idx="10">
                    <c:v>SmartThreads</c:v>
                  </c:pt>
                  <c:pt idx="11">
                    <c:v>StreetStyle</c:v>
                  </c:pt>
                  <c:pt idx="12">
                    <c:v>StyleCraft</c:v>
                  </c:pt>
                  <c:pt idx="13">
                    <c:v>StyleNest</c:v>
                  </c:pt>
                  <c:pt idx="14">
                    <c:v>TrendWear</c:v>
                  </c:pt>
                  <c:pt idx="15">
                    <c:v>TrendyLook</c:v>
                  </c:pt>
                  <c:pt idx="16">
                    <c:v>UrbanEdge</c:v>
                  </c:pt>
                  <c:pt idx="17">
                    <c:v>UrbanStyle</c:v>
                  </c:pt>
                  <c:pt idx="18">
                    <c:v>UrbanVibe</c:v>
                  </c:pt>
                  <c:pt idx="19">
                    <c:v>VogueWear</c:v>
                  </c:pt>
                  <c:pt idx="20">
                    <c:v>DailyStyle</c:v>
                  </c:pt>
                  <c:pt idx="21">
                    <c:v>DenimZone</c:v>
                  </c:pt>
                  <c:pt idx="22">
                    <c:v>EliteWear</c:v>
                  </c:pt>
                  <c:pt idx="23">
                    <c:v>FashionPoint</c:v>
                  </c:pt>
                  <c:pt idx="24">
                    <c:v>StreetStyle</c:v>
                  </c:pt>
                  <c:pt idx="25">
                    <c:v>StyleNest</c:v>
                  </c:pt>
                  <c:pt idx="26">
                    <c:v>TrendWear</c:v>
                  </c:pt>
                  <c:pt idx="27">
                    <c:v>UrbanEdge</c:v>
                  </c:pt>
                  <c:pt idx="28">
                    <c:v>UrbanStyle</c:v>
                  </c:pt>
                  <c:pt idx="29">
                    <c:v>UrbanVibe</c:v>
                  </c:pt>
                  <c:pt idx="30">
                    <c:v>ClassicWear</c:v>
                  </c:pt>
                  <c:pt idx="31">
                    <c:v>CottonClub</c:v>
                  </c:pt>
                  <c:pt idx="32">
                    <c:v>DailyStyle</c:v>
                  </c:pt>
                  <c:pt idx="33">
                    <c:v>Elegance</c:v>
                  </c:pt>
                  <c:pt idx="34">
                    <c:v>FashionHub</c:v>
                  </c:pt>
                  <c:pt idx="35">
                    <c:v>FashionPoint</c:v>
                  </c:pt>
                  <c:pt idx="36">
                    <c:v>ModernFit</c:v>
                  </c:pt>
                  <c:pt idx="37">
                    <c:v>RoyalThreads</c:v>
                  </c:pt>
                  <c:pt idx="38">
                    <c:v>SmartThreads</c:v>
                  </c:pt>
                  <c:pt idx="39">
                    <c:v>StyleNest</c:v>
                  </c:pt>
                  <c:pt idx="40">
                    <c:v>TrendyLook</c:v>
                  </c:pt>
                  <c:pt idx="41">
                    <c:v>UrbanStyle</c:v>
                  </c:pt>
                  <c:pt idx="42">
                    <c:v>UrbanVibe</c:v>
                  </c:pt>
                  <c:pt idx="43">
                    <c:v>ClassicWear</c:v>
                  </c:pt>
                  <c:pt idx="44">
                    <c:v>CottonClub</c:v>
                  </c:pt>
                  <c:pt idx="45">
                    <c:v>DailyStyle</c:v>
                  </c:pt>
                  <c:pt idx="46">
                    <c:v>Elegance</c:v>
                  </c:pt>
                  <c:pt idx="47">
                    <c:v>FashionHub</c:v>
                  </c:pt>
                  <c:pt idx="48">
                    <c:v>FashionPoint</c:v>
                  </c:pt>
                  <c:pt idx="49">
                    <c:v>ModernFit</c:v>
                  </c:pt>
                  <c:pt idx="50">
                    <c:v>RoyalThreads</c:v>
                  </c:pt>
                  <c:pt idx="51">
                    <c:v>SmartThreads</c:v>
                  </c:pt>
                  <c:pt idx="52">
                    <c:v>StreetStyle</c:v>
                  </c:pt>
                  <c:pt idx="53">
                    <c:v>StyleCraft</c:v>
                  </c:pt>
                  <c:pt idx="54">
                    <c:v>StyleNest</c:v>
                  </c:pt>
                  <c:pt idx="55">
                    <c:v>TrendWear</c:v>
                  </c:pt>
                  <c:pt idx="56">
                    <c:v>UrbanEdge</c:v>
                  </c:pt>
                  <c:pt idx="57">
                    <c:v>UrbanStyle</c:v>
                  </c:pt>
                  <c:pt idx="58">
                    <c:v>VogueWear</c:v>
                  </c:pt>
                  <c:pt idx="59">
                    <c:v>DailyStyle</c:v>
                  </c:pt>
                  <c:pt idx="60">
                    <c:v>DenimZone</c:v>
                  </c:pt>
                  <c:pt idx="61">
                    <c:v>Elegance</c:v>
                  </c:pt>
                  <c:pt idx="62">
                    <c:v>EliteWear</c:v>
                  </c:pt>
                  <c:pt idx="63">
                    <c:v>FashionHub</c:v>
                  </c:pt>
                  <c:pt idx="64">
                    <c:v>ModernFit</c:v>
                  </c:pt>
                  <c:pt idx="65">
                    <c:v>RoyalThreads</c:v>
                  </c:pt>
                  <c:pt idx="66">
                    <c:v>SmartThreads</c:v>
                  </c:pt>
                  <c:pt idx="67">
                    <c:v>StreetStyle</c:v>
                  </c:pt>
                  <c:pt idx="68">
                    <c:v>StyleCraft</c:v>
                  </c:pt>
                  <c:pt idx="69">
                    <c:v>StyleNest</c:v>
                  </c:pt>
                  <c:pt idx="70">
                    <c:v>TrendWear</c:v>
                  </c:pt>
                  <c:pt idx="71">
                    <c:v>TrendyLook</c:v>
                  </c:pt>
                  <c:pt idx="72">
                    <c:v>UrbanEdge</c:v>
                  </c:pt>
                  <c:pt idx="73">
                    <c:v>UrbanVibe</c:v>
                  </c:pt>
                  <c:pt idx="74">
                    <c:v>VogueWear</c:v>
                  </c:pt>
                  <c:pt idx="75">
                    <c:v>CottonClub</c:v>
                  </c:pt>
                  <c:pt idx="76">
                    <c:v>DailyStyle</c:v>
                  </c:pt>
                  <c:pt idx="77">
                    <c:v>Elegance</c:v>
                  </c:pt>
                  <c:pt idx="78">
                    <c:v>EliteWear</c:v>
                  </c:pt>
                  <c:pt idx="79">
                    <c:v>FashionHub</c:v>
                  </c:pt>
                  <c:pt idx="80">
                    <c:v>FashionPoint</c:v>
                  </c:pt>
                  <c:pt idx="81">
                    <c:v>ModernFit</c:v>
                  </c:pt>
                  <c:pt idx="82">
                    <c:v>RoyalThreads</c:v>
                  </c:pt>
                  <c:pt idx="83">
                    <c:v>SmartThreads</c:v>
                  </c:pt>
                  <c:pt idx="84">
                    <c:v>StreetStyle</c:v>
                  </c:pt>
                  <c:pt idx="85">
                    <c:v>StyleCraft</c:v>
                  </c:pt>
                  <c:pt idx="86">
                    <c:v>TrendWear</c:v>
                  </c:pt>
                  <c:pt idx="87">
                    <c:v>TrendyLook</c:v>
                  </c:pt>
                  <c:pt idx="88">
                    <c:v>UrbanEdge</c:v>
                  </c:pt>
                  <c:pt idx="89">
                    <c:v>UrbanVibe</c:v>
                  </c:pt>
                  <c:pt idx="90">
                    <c:v>VogueWear</c:v>
                  </c:pt>
                  <c:pt idx="91">
                    <c:v>CottonClub</c:v>
                  </c:pt>
                  <c:pt idx="92">
                    <c:v>DailyStyle</c:v>
                  </c:pt>
                  <c:pt idx="93">
                    <c:v>DenimZone</c:v>
                  </c:pt>
                  <c:pt idx="94">
                    <c:v>Elegance</c:v>
                  </c:pt>
                  <c:pt idx="95">
                    <c:v>EliteWear</c:v>
                  </c:pt>
                  <c:pt idx="96">
                    <c:v>FashionHub</c:v>
                  </c:pt>
                  <c:pt idx="97">
                    <c:v>FashionPoint</c:v>
                  </c:pt>
                  <c:pt idx="98">
                    <c:v>ModernFit</c:v>
                  </c:pt>
                  <c:pt idx="99">
                    <c:v>StreetStyle</c:v>
                  </c:pt>
                  <c:pt idx="100">
                    <c:v>StyleCraft</c:v>
                  </c:pt>
                  <c:pt idx="101">
                    <c:v>TrendWear</c:v>
                  </c:pt>
                  <c:pt idx="102">
                    <c:v>TrendyLook</c:v>
                  </c:pt>
                  <c:pt idx="103">
                    <c:v>UrbanEdge</c:v>
                  </c:pt>
                  <c:pt idx="104">
                    <c:v>UrbanStyle</c:v>
                  </c:pt>
                  <c:pt idx="105">
                    <c:v>UrbanVibe</c:v>
                  </c:pt>
                  <c:pt idx="106">
                    <c:v>VogueWear</c:v>
                  </c:pt>
                  <c:pt idx="107">
                    <c:v>ClassicWear</c:v>
                  </c:pt>
                  <c:pt idx="108">
                    <c:v>CottonClub</c:v>
                  </c:pt>
                  <c:pt idx="109">
                    <c:v>DenimZone</c:v>
                  </c:pt>
                  <c:pt idx="110">
                    <c:v>Elegance</c:v>
                  </c:pt>
                  <c:pt idx="111">
                    <c:v>EliteWear</c:v>
                  </c:pt>
                  <c:pt idx="112">
                    <c:v>FashionHub</c:v>
                  </c:pt>
                  <c:pt idx="113">
                    <c:v>ModernFit</c:v>
                  </c:pt>
                  <c:pt idx="114">
                    <c:v>RoyalThreads</c:v>
                  </c:pt>
                  <c:pt idx="115">
                    <c:v>SmartThreads</c:v>
                  </c:pt>
                  <c:pt idx="116">
                    <c:v>StreetStyle</c:v>
                  </c:pt>
                  <c:pt idx="117">
                    <c:v>StyleCraft</c:v>
                  </c:pt>
                  <c:pt idx="118">
                    <c:v>StyleNest</c:v>
                  </c:pt>
                  <c:pt idx="119">
                    <c:v>TrendWear</c:v>
                  </c:pt>
                  <c:pt idx="120">
                    <c:v>TrendyLook</c:v>
                  </c:pt>
                  <c:pt idx="121">
                    <c:v>UrbanEdge</c:v>
                  </c:pt>
                  <c:pt idx="122">
                    <c:v>VogueWear</c:v>
                  </c:pt>
                  <c:pt idx="123">
                    <c:v>ClassicWear</c:v>
                  </c:pt>
                  <c:pt idx="124">
                    <c:v>CottonClub</c:v>
                  </c:pt>
                  <c:pt idx="125">
                    <c:v>DailyStyle</c:v>
                  </c:pt>
                  <c:pt idx="126">
                    <c:v>DenimZone</c:v>
                  </c:pt>
                  <c:pt idx="127">
                    <c:v>Elegance</c:v>
                  </c:pt>
                  <c:pt idx="128">
                    <c:v>EliteWear</c:v>
                  </c:pt>
                  <c:pt idx="129">
                    <c:v>FashionHub</c:v>
                  </c:pt>
                  <c:pt idx="130">
                    <c:v>FashionPoint</c:v>
                  </c:pt>
                  <c:pt idx="131">
                    <c:v>ModernFit</c:v>
                  </c:pt>
                  <c:pt idx="132">
                    <c:v>RoyalThreads</c:v>
                  </c:pt>
                  <c:pt idx="133">
                    <c:v>SmartThreads</c:v>
                  </c:pt>
                  <c:pt idx="134">
                    <c:v>StreetStyle</c:v>
                  </c:pt>
                  <c:pt idx="135">
                    <c:v>StyleCraft</c:v>
                  </c:pt>
                  <c:pt idx="136">
                    <c:v>StyleNest</c:v>
                  </c:pt>
                  <c:pt idx="137">
                    <c:v>TrendWear</c:v>
                  </c:pt>
                  <c:pt idx="138">
                    <c:v>TrendyLook</c:v>
                  </c:pt>
                  <c:pt idx="139">
                    <c:v>UrbanEdge</c:v>
                  </c:pt>
                  <c:pt idx="140">
                    <c:v>UrbanStyle</c:v>
                  </c:pt>
                  <c:pt idx="141">
                    <c:v>UrbanVibe</c:v>
                  </c:pt>
                  <c:pt idx="142">
                    <c:v>VogueWear</c:v>
                  </c:pt>
                </c:lvl>
                <c:lvl>
                  <c:pt idx="0">
                    <c:v>Cap</c:v>
                  </c:pt>
                  <c:pt idx="20">
                    <c:v>Jeans</c:v>
                  </c:pt>
                  <c:pt idx="30">
                    <c:v>Kurta</c:v>
                  </c:pt>
                  <c:pt idx="43">
                    <c:v>Lower</c:v>
                  </c:pt>
                  <c:pt idx="59">
                    <c:v>Saree</c:v>
                  </c:pt>
                  <c:pt idx="75">
                    <c:v>Shirt</c:v>
                  </c:pt>
                  <c:pt idx="91">
                    <c:v>Suit</c:v>
                  </c:pt>
                  <c:pt idx="107">
                    <c:v>Top</c:v>
                  </c:pt>
                  <c:pt idx="123">
                    <c:v>T-Shirt</c:v>
                  </c:pt>
                </c:lvl>
              </c:multiLvlStrCache>
            </c:multiLvlStrRef>
          </c:cat>
          <c:val>
            <c:numRef>
              <c:f>'Sales vs Orders'!$C$4:$C$156</c:f>
              <c:numCache>
                <c:formatCode>General</c:formatCode>
                <c:ptCount val="143"/>
                <c:pt idx="0">
                  <c:v>4598</c:v>
                </c:pt>
                <c:pt idx="1">
                  <c:v>6998</c:v>
                </c:pt>
                <c:pt idx="2">
                  <c:v>2798</c:v>
                </c:pt>
                <c:pt idx="3">
                  <c:v>1199</c:v>
                </c:pt>
                <c:pt idx="4">
                  <c:v>7497</c:v>
                </c:pt>
                <c:pt idx="5">
                  <c:v>799</c:v>
                </c:pt>
                <c:pt idx="6">
                  <c:v>10497</c:v>
                </c:pt>
                <c:pt idx="7">
                  <c:v>1199</c:v>
                </c:pt>
                <c:pt idx="8">
                  <c:v>5697</c:v>
                </c:pt>
                <c:pt idx="9">
                  <c:v>8997</c:v>
                </c:pt>
                <c:pt idx="10">
                  <c:v>4598</c:v>
                </c:pt>
                <c:pt idx="11">
                  <c:v>998</c:v>
                </c:pt>
                <c:pt idx="12">
                  <c:v>1999</c:v>
                </c:pt>
                <c:pt idx="13">
                  <c:v>1398</c:v>
                </c:pt>
                <c:pt idx="14">
                  <c:v>1798</c:v>
                </c:pt>
                <c:pt idx="15">
                  <c:v>2599</c:v>
                </c:pt>
                <c:pt idx="16">
                  <c:v>999</c:v>
                </c:pt>
                <c:pt idx="17">
                  <c:v>2598</c:v>
                </c:pt>
                <c:pt idx="18">
                  <c:v>1499</c:v>
                </c:pt>
                <c:pt idx="19">
                  <c:v>7497</c:v>
                </c:pt>
                <c:pt idx="20">
                  <c:v>2298</c:v>
                </c:pt>
                <c:pt idx="21">
                  <c:v>7195</c:v>
                </c:pt>
                <c:pt idx="22">
                  <c:v>4995</c:v>
                </c:pt>
                <c:pt idx="23">
                  <c:v>4496</c:v>
                </c:pt>
                <c:pt idx="24">
                  <c:v>4596</c:v>
                </c:pt>
                <c:pt idx="25">
                  <c:v>4797</c:v>
                </c:pt>
                <c:pt idx="26">
                  <c:v>3896</c:v>
                </c:pt>
                <c:pt idx="27">
                  <c:v>5495</c:v>
                </c:pt>
                <c:pt idx="28">
                  <c:v>3098</c:v>
                </c:pt>
                <c:pt idx="29">
                  <c:v>2597</c:v>
                </c:pt>
                <c:pt idx="30">
                  <c:v>5498</c:v>
                </c:pt>
                <c:pt idx="31">
                  <c:v>19392</c:v>
                </c:pt>
                <c:pt idx="32">
                  <c:v>1599</c:v>
                </c:pt>
                <c:pt idx="33">
                  <c:v>3499</c:v>
                </c:pt>
                <c:pt idx="34">
                  <c:v>12695</c:v>
                </c:pt>
                <c:pt idx="35">
                  <c:v>1398</c:v>
                </c:pt>
                <c:pt idx="36">
                  <c:v>8397</c:v>
                </c:pt>
                <c:pt idx="37">
                  <c:v>25091</c:v>
                </c:pt>
                <c:pt idx="38">
                  <c:v>2199</c:v>
                </c:pt>
                <c:pt idx="39">
                  <c:v>1299</c:v>
                </c:pt>
                <c:pt idx="40">
                  <c:v>1799</c:v>
                </c:pt>
                <c:pt idx="41">
                  <c:v>2796</c:v>
                </c:pt>
                <c:pt idx="42">
                  <c:v>3996</c:v>
                </c:pt>
                <c:pt idx="43">
                  <c:v>5697</c:v>
                </c:pt>
                <c:pt idx="44">
                  <c:v>12396</c:v>
                </c:pt>
                <c:pt idx="45">
                  <c:v>2598</c:v>
                </c:pt>
                <c:pt idx="46">
                  <c:v>8397</c:v>
                </c:pt>
                <c:pt idx="47">
                  <c:v>8395</c:v>
                </c:pt>
                <c:pt idx="48">
                  <c:v>1598</c:v>
                </c:pt>
                <c:pt idx="49">
                  <c:v>8397</c:v>
                </c:pt>
                <c:pt idx="50">
                  <c:v>2599</c:v>
                </c:pt>
                <c:pt idx="51">
                  <c:v>3998</c:v>
                </c:pt>
                <c:pt idx="52">
                  <c:v>2998</c:v>
                </c:pt>
                <c:pt idx="53">
                  <c:v>3499</c:v>
                </c:pt>
                <c:pt idx="54">
                  <c:v>1499</c:v>
                </c:pt>
                <c:pt idx="55">
                  <c:v>1199</c:v>
                </c:pt>
                <c:pt idx="56">
                  <c:v>9196</c:v>
                </c:pt>
                <c:pt idx="57">
                  <c:v>4397</c:v>
                </c:pt>
                <c:pt idx="58">
                  <c:v>3299</c:v>
                </c:pt>
                <c:pt idx="59">
                  <c:v>2598</c:v>
                </c:pt>
                <c:pt idx="60">
                  <c:v>2997</c:v>
                </c:pt>
                <c:pt idx="61">
                  <c:v>9897</c:v>
                </c:pt>
                <c:pt idx="62">
                  <c:v>899</c:v>
                </c:pt>
                <c:pt idx="63">
                  <c:v>2999</c:v>
                </c:pt>
                <c:pt idx="64">
                  <c:v>3499</c:v>
                </c:pt>
                <c:pt idx="65">
                  <c:v>4398</c:v>
                </c:pt>
                <c:pt idx="66">
                  <c:v>5997</c:v>
                </c:pt>
                <c:pt idx="67">
                  <c:v>1398</c:v>
                </c:pt>
                <c:pt idx="68">
                  <c:v>7497</c:v>
                </c:pt>
                <c:pt idx="69">
                  <c:v>8693</c:v>
                </c:pt>
                <c:pt idx="70">
                  <c:v>1599</c:v>
                </c:pt>
                <c:pt idx="71">
                  <c:v>6697</c:v>
                </c:pt>
                <c:pt idx="72">
                  <c:v>1598</c:v>
                </c:pt>
                <c:pt idx="73">
                  <c:v>999</c:v>
                </c:pt>
                <c:pt idx="74">
                  <c:v>5998</c:v>
                </c:pt>
                <c:pt idx="75">
                  <c:v>1399</c:v>
                </c:pt>
                <c:pt idx="76">
                  <c:v>1599</c:v>
                </c:pt>
                <c:pt idx="77">
                  <c:v>2599</c:v>
                </c:pt>
                <c:pt idx="78">
                  <c:v>699</c:v>
                </c:pt>
                <c:pt idx="79">
                  <c:v>7497</c:v>
                </c:pt>
                <c:pt idx="80">
                  <c:v>3196</c:v>
                </c:pt>
                <c:pt idx="81">
                  <c:v>16794</c:v>
                </c:pt>
                <c:pt idx="82">
                  <c:v>2799</c:v>
                </c:pt>
                <c:pt idx="83">
                  <c:v>1799</c:v>
                </c:pt>
                <c:pt idx="84">
                  <c:v>1399</c:v>
                </c:pt>
                <c:pt idx="85">
                  <c:v>6397</c:v>
                </c:pt>
                <c:pt idx="86">
                  <c:v>3897</c:v>
                </c:pt>
                <c:pt idx="87">
                  <c:v>6397</c:v>
                </c:pt>
                <c:pt idx="88">
                  <c:v>2697</c:v>
                </c:pt>
                <c:pt idx="89">
                  <c:v>2597</c:v>
                </c:pt>
                <c:pt idx="90">
                  <c:v>1999</c:v>
                </c:pt>
                <c:pt idx="91">
                  <c:v>8397</c:v>
                </c:pt>
                <c:pt idx="92">
                  <c:v>1099</c:v>
                </c:pt>
                <c:pt idx="93">
                  <c:v>1698</c:v>
                </c:pt>
                <c:pt idx="94">
                  <c:v>7797</c:v>
                </c:pt>
                <c:pt idx="95">
                  <c:v>4994</c:v>
                </c:pt>
                <c:pt idx="96">
                  <c:v>9996</c:v>
                </c:pt>
                <c:pt idx="97">
                  <c:v>2997</c:v>
                </c:pt>
                <c:pt idx="98">
                  <c:v>7996</c:v>
                </c:pt>
                <c:pt idx="99">
                  <c:v>699</c:v>
                </c:pt>
                <c:pt idx="100">
                  <c:v>10396</c:v>
                </c:pt>
                <c:pt idx="101">
                  <c:v>3596</c:v>
                </c:pt>
                <c:pt idx="102">
                  <c:v>1899</c:v>
                </c:pt>
                <c:pt idx="103">
                  <c:v>1598</c:v>
                </c:pt>
                <c:pt idx="104">
                  <c:v>1299</c:v>
                </c:pt>
                <c:pt idx="105">
                  <c:v>4796</c:v>
                </c:pt>
                <c:pt idx="106">
                  <c:v>2199</c:v>
                </c:pt>
                <c:pt idx="107">
                  <c:v>10395</c:v>
                </c:pt>
                <c:pt idx="108">
                  <c:v>6998</c:v>
                </c:pt>
                <c:pt idx="109">
                  <c:v>1399</c:v>
                </c:pt>
                <c:pt idx="110">
                  <c:v>16694</c:v>
                </c:pt>
                <c:pt idx="111">
                  <c:v>2398</c:v>
                </c:pt>
                <c:pt idx="112">
                  <c:v>8397</c:v>
                </c:pt>
                <c:pt idx="113">
                  <c:v>14395</c:v>
                </c:pt>
                <c:pt idx="114">
                  <c:v>6797</c:v>
                </c:pt>
                <c:pt idx="115">
                  <c:v>5396</c:v>
                </c:pt>
                <c:pt idx="116">
                  <c:v>5996</c:v>
                </c:pt>
                <c:pt idx="117">
                  <c:v>6197</c:v>
                </c:pt>
                <c:pt idx="118">
                  <c:v>1798</c:v>
                </c:pt>
                <c:pt idx="119">
                  <c:v>1998</c:v>
                </c:pt>
                <c:pt idx="120">
                  <c:v>4198</c:v>
                </c:pt>
                <c:pt idx="121">
                  <c:v>1798</c:v>
                </c:pt>
                <c:pt idx="122">
                  <c:v>20991</c:v>
                </c:pt>
                <c:pt idx="123">
                  <c:v>8397</c:v>
                </c:pt>
                <c:pt idx="124">
                  <c:v>2499</c:v>
                </c:pt>
                <c:pt idx="125">
                  <c:v>5896</c:v>
                </c:pt>
                <c:pt idx="126">
                  <c:v>4695</c:v>
                </c:pt>
                <c:pt idx="127">
                  <c:v>699</c:v>
                </c:pt>
                <c:pt idx="128">
                  <c:v>4497</c:v>
                </c:pt>
                <c:pt idx="129">
                  <c:v>3499</c:v>
                </c:pt>
                <c:pt idx="130">
                  <c:v>5095</c:v>
                </c:pt>
                <c:pt idx="131">
                  <c:v>2799</c:v>
                </c:pt>
                <c:pt idx="132">
                  <c:v>5997</c:v>
                </c:pt>
                <c:pt idx="133">
                  <c:v>4798</c:v>
                </c:pt>
                <c:pt idx="134">
                  <c:v>6396</c:v>
                </c:pt>
                <c:pt idx="135">
                  <c:v>2999</c:v>
                </c:pt>
                <c:pt idx="136">
                  <c:v>3697</c:v>
                </c:pt>
                <c:pt idx="137">
                  <c:v>2597</c:v>
                </c:pt>
                <c:pt idx="138">
                  <c:v>4398</c:v>
                </c:pt>
                <c:pt idx="139">
                  <c:v>1798</c:v>
                </c:pt>
                <c:pt idx="140">
                  <c:v>1998</c:v>
                </c:pt>
                <c:pt idx="141">
                  <c:v>4196</c:v>
                </c:pt>
                <c:pt idx="142">
                  <c:v>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E-401A-96E7-E0730A334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752008"/>
        <c:axId val="26754056"/>
      </c:barChart>
      <c:lineChart>
        <c:grouping val="standard"/>
        <c:varyColors val="0"/>
        <c:ser>
          <c:idx val="1"/>
          <c:order val="1"/>
          <c:tx>
            <c:strRef>
              <c:f>'Sales vs Orders'!$D$3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'Sales vs Orders'!$A$4:$B$156</c:f>
              <c:multiLvlStrCache>
                <c:ptCount val="143"/>
                <c:lvl>
                  <c:pt idx="0">
                    <c:v>ClassicWear</c:v>
                  </c:pt>
                  <c:pt idx="1">
                    <c:v>CottonClub</c:v>
                  </c:pt>
                  <c:pt idx="2">
                    <c:v>DailyStyle</c:v>
                  </c:pt>
                  <c:pt idx="3">
                    <c:v>DenimZone</c:v>
                  </c:pt>
                  <c:pt idx="4">
                    <c:v>Elegance</c:v>
                  </c:pt>
                  <c:pt idx="5">
                    <c:v>EliteWear</c:v>
                  </c:pt>
                  <c:pt idx="6">
                    <c:v>FashionHub</c:v>
                  </c:pt>
                  <c:pt idx="7">
                    <c:v>FashionPoint</c:v>
                  </c:pt>
                  <c:pt idx="8">
                    <c:v>ModernFit</c:v>
                  </c:pt>
                  <c:pt idx="9">
                    <c:v>RoyalThreads</c:v>
                  </c:pt>
                  <c:pt idx="10">
                    <c:v>SmartThreads</c:v>
                  </c:pt>
                  <c:pt idx="11">
                    <c:v>StreetStyle</c:v>
                  </c:pt>
                  <c:pt idx="12">
                    <c:v>StyleCraft</c:v>
                  </c:pt>
                  <c:pt idx="13">
                    <c:v>StyleNest</c:v>
                  </c:pt>
                  <c:pt idx="14">
                    <c:v>TrendWear</c:v>
                  </c:pt>
                  <c:pt idx="15">
                    <c:v>TrendyLook</c:v>
                  </c:pt>
                  <c:pt idx="16">
                    <c:v>UrbanEdge</c:v>
                  </c:pt>
                  <c:pt idx="17">
                    <c:v>UrbanStyle</c:v>
                  </c:pt>
                  <c:pt idx="18">
                    <c:v>UrbanVibe</c:v>
                  </c:pt>
                  <c:pt idx="19">
                    <c:v>VogueWear</c:v>
                  </c:pt>
                  <c:pt idx="20">
                    <c:v>DailyStyle</c:v>
                  </c:pt>
                  <c:pt idx="21">
                    <c:v>DenimZone</c:v>
                  </c:pt>
                  <c:pt idx="22">
                    <c:v>EliteWear</c:v>
                  </c:pt>
                  <c:pt idx="23">
                    <c:v>FashionPoint</c:v>
                  </c:pt>
                  <c:pt idx="24">
                    <c:v>StreetStyle</c:v>
                  </c:pt>
                  <c:pt idx="25">
                    <c:v>StyleNest</c:v>
                  </c:pt>
                  <c:pt idx="26">
                    <c:v>TrendWear</c:v>
                  </c:pt>
                  <c:pt idx="27">
                    <c:v>UrbanEdge</c:v>
                  </c:pt>
                  <c:pt idx="28">
                    <c:v>UrbanStyle</c:v>
                  </c:pt>
                  <c:pt idx="29">
                    <c:v>UrbanVibe</c:v>
                  </c:pt>
                  <c:pt idx="30">
                    <c:v>ClassicWear</c:v>
                  </c:pt>
                  <c:pt idx="31">
                    <c:v>CottonClub</c:v>
                  </c:pt>
                  <c:pt idx="32">
                    <c:v>DailyStyle</c:v>
                  </c:pt>
                  <c:pt idx="33">
                    <c:v>Elegance</c:v>
                  </c:pt>
                  <c:pt idx="34">
                    <c:v>FashionHub</c:v>
                  </c:pt>
                  <c:pt idx="35">
                    <c:v>FashionPoint</c:v>
                  </c:pt>
                  <c:pt idx="36">
                    <c:v>ModernFit</c:v>
                  </c:pt>
                  <c:pt idx="37">
                    <c:v>RoyalThreads</c:v>
                  </c:pt>
                  <c:pt idx="38">
                    <c:v>SmartThreads</c:v>
                  </c:pt>
                  <c:pt idx="39">
                    <c:v>StyleNest</c:v>
                  </c:pt>
                  <c:pt idx="40">
                    <c:v>TrendyLook</c:v>
                  </c:pt>
                  <c:pt idx="41">
                    <c:v>UrbanStyle</c:v>
                  </c:pt>
                  <c:pt idx="42">
                    <c:v>UrbanVibe</c:v>
                  </c:pt>
                  <c:pt idx="43">
                    <c:v>ClassicWear</c:v>
                  </c:pt>
                  <c:pt idx="44">
                    <c:v>CottonClub</c:v>
                  </c:pt>
                  <c:pt idx="45">
                    <c:v>DailyStyle</c:v>
                  </c:pt>
                  <c:pt idx="46">
                    <c:v>Elegance</c:v>
                  </c:pt>
                  <c:pt idx="47">
                    <c:v>FashionHub</c:v>
                  </c:pt>
                  <c:pt idx="48">
                    <c:v>FashionPoint</c:v>
                  </c:pt>
                  <c:pt idx="49">
                    <c:v>ModernFit</c:v>
                  </c:pt>
                  <c:pt idx="50">
                    <c:v>RoyalThreads</c:v>
                  </c:pt>
                  <c:pt idx="51">
                    <c:v>SmartThreads</c:v>
                  </c:pt>
                  <c:pt idx="52">
                    <c:v>StreetStyle</c:v>
                  </c:pt>
                  <c:pt idx="53">
                    <c:v>StyleCraft</c:v>
                  </c:pt>
                  <c:pt idx="54">
                    <c:v>StyleNest</c:v>
                  </c:pt>
                  <c:pt idx="55">
                    <c:v>TrendWear</c:v>
                  </c:pt>
                  <c:pt idx="56">
                    <c:v>UrbanEdge</c:v>
                  </c:pt>
                  <c:pt idx="57">
                    <c:v>UrbanStyle</c:v>
                  </c:pt>
                  <c:pt idx="58">
                    <c:v>VogueWear</c:v>
                  </c:pt>
                  <c:pt idx="59">
                    <c:v>DailyStyle</c:v>
                  </c:pt>
                  <c:pt idx="60">
                    <c:v>DenimZone</c:v>
                  </c:pt>
                  <c:pt idx="61">
                    <c:v>Elegance</c:v>
                  </c:pt>
                  <c:pt idx="62">
                    <c:v>EliteWear</c:v>
                  </c:pt>
                  <c:pt idx="63">
                    <c:v>FashionHub</c:v>
                  </c:pt>
                  <c:pt idx="64">
                    <c:v>ModernFit</c:v>
                  </c:pt>
                  <c:pt idx="65">
                    <c:v>RoyalThreads</c:v>
                  </c:pt>
                  <c:pt idx="66">
                    <c:v>SmartThreads</c:v>
                  </c:pt>
                  <c:pt idx="67">
                    <c:v>StreetStyle</c:v>
                  </c:pt>
                  <c:pt idx="68">
                    <c:v>StyleCraft</c:v>
                  </c:pt>
                  <c:pt idx="69">
                    <c:v>StyleNest</c:v>
                  </c:pt>
                  <c:pt idx="70">
                    <c:v>TrendWear</c:v>
                  </c:pt>
                  <c:pt idx="71">
                    <c:v>TrendyLook</c:v>
                  </c:pt>
                  <c:pt idx="72">
                    <c:v>UrbanEdge</c:v>
                  </c:pt>
                  <c:pt idx="73">
                    <c:v>UrbanVibe</c:v>
                  </c:pt>
                  <c:pt idx="74">
                    <c:v>VogueWear</c:v>
                  </c:pt>
                  <c:pt idx="75">
                    <c:v>CottonClub</c:v>
                  </c:pt>
                  <c:pt idx="76">
                    <c:v>DailyStyle</c:v>
                  </c:pt>
                  <c:pt idx="77">
                    <c:v>Elegance</c:v>
                  </c:pt>
                  <c:pt idx="78">
                    <c:v>EliteWear</c:v>
                  </c:pt>
                  <c:pt idx="79">
                    <c:v>FashionHub</c:v>
                  </c:pt>
                  <c:pt idx="80">
                    <c:v>FashionPoint</c:v>
                  </c:pt>
                  <c:pt idx="81">
                    <c:v>ModernFit</c:v>
                  </c:pt>
                  <c:pt idx="82">
                    <c:v>RoyalThreads</c:v>
                  </c:pt>
                  <c:pt idx="83">
                    <c:v>SmartThreads</c:v>
                  </c:pt>
                  <c:pt idx="84">
                    <c:v>StreetStyle</c:v>
                  </c:pt>
                  <c:pt idx="85">
                    <c:v>StyleCraft</c:v>
                  </c:pt>
                  <c:pt idx="86">
                    <c:v>TrendWear</c:v>
                  </c:pt>
                  <c:pt idx="87">
                    <c:v>TrendyLook</c:v>
                  </c:pt>
                  <c:pt idx="88">
                    <c:v>UrbanEdge</c:v>
                  </c:pt>
                  <c:pt idx="89">
                    <c:v>UrbanVibe</c:v>
                  </c:pt>
                  <c:pt idx="90">
                    <c:v>VogueWear</c:v>
                  </c:pt>
                  <c:pt idx="91">
                    <c:v>CottonClub</c:v>
                  </c:pt>
                  <c:pt idx="92">
                    <c:v>DailyStyle</c:v>
                  </c:pt>
                  <c:pt idx="93">
                    <c:v>DenimZone</c:v>
                  </c:pt>
                  <c:pt idx="94">
                    <c:v>Elegance</c:v>
                  </c:pt>
                  <c:pt idx="95">
                    <c:v>EliteWear</c:v>
                  </c:pt>
                  <c:pt idx="96">
                    <c:v>FashionHub</c:v>
                  </c:pt>
                  <c:pt idx="97">
                    <c:v>FashionPoint</c:v>
                  </c:pt>
                  <c:pt idx="98">
                    <c:v>ModernFit</c:v>
                  </c:pt>
                  <c:pt idx="99">
                    <c:v>StreetStyle</c:v>
                  </c:pt>
                  <c:pt idx="100">
                    <c:v>StyleCraft</c:v>
                  </c:pt>
                  <c:pt idx="101">
                    <c:v>TrendWear</c:v>
                  </c:pt>
                  <c:pt idx="102">
                    <c:v>TrendyLook</c:v>
                  </c:pt>
                  <c:pt idx="103">
                    <c:v>UrbanEdge</c:v>
                  </c:pt>
                  <c:pt idx="104">
                    <c:v>UrbanStyle</c:v>
                  </c:pt>
                  <c:pt idx="105">
                    <c:v>UrbanVibe</c:v>
                  </c:pt>
                  <c:pt idx="106">
                    <c:v>VogueWear</c:v>
                  </c:pt>
                  <c:pt idx="107">
                    <c:v>ClassicWear</c:v>
                  </c:pt>
                  <c:pt idx="108">
                    <c:v>CottonClub</c:v>
                  </c:pt>
                  <c:pt idx="109">
                    <c:v>DenimZone</c:v>
                  </c:pt>
                  <c:pt idx="110">
                    <c:v>Elegance</c:v>
                  </c:pt>
                  <c:pt idx="111">
                    <c:v>EliteWear</c:v>
                  </c:pt>
                  <c:pt idx="112">
                    <c:v>FashionHub</c:v>
                  </c:pt>
                  <c:pt idx="113">
                    <c:v>ModernFit</c:v>
                  </c:pt>
                  <c:pt idx="114">
                    <c:v>RoyalThreads</c:v>
                  </c:pt>
                  <c:pt idx="115">
                    <c:v>SmartThreads</c:v>
                  </c:pt>
                  <c:pt idx="116">
                    <c:v>StreetStyle</c:v>
                  </c:pt>
                  <c:pt idx="117">
                    <c:v>StyleCraft</c:v>
                  </c:pt>
                  <c:pt idx="118">
                    <c:v>StyleNest</c:v>
                  </c:pt>
                  <c:pt idx="119">
                    <c:v>TrendWear</c:v>
                  </c:pt>
                  <c:pt idx="120">
                    <c:v>TrendyLook</c:v>
                  </c:pt>
                  <c:pt idx="121">
                    <c:v>UrbanEdge</c:v>
                  </c:pt>
                  <c:pt idx="122">
                    <c:v>VogueWear</c:v>
                  </c:pt>
                  <c:pt idx="123">
                    <c:v>ClassicWear</c:v>
                  </c:pt>
                  <c:pt idx="124">
                    <c:v>CottonClub</c:v>
                  </c:pt>
                  <c:pt idx="125">
                    <c:v>DailyStyle</c:v>
                  </c:pt>
                  <c:pt idx="126">
                    <c:v>DenimZone</c:v>
                  </c:pt>
                  <c:pt idx="127">
                    <c:v>Elegance</c:v>
                  </c:pt>
                  <c:pt idx="128">
                    <c:v>EliteWear</c:v>
                  </c:pt>
                  <c:pt idx="129">
                    <c:v>FashionHub</c:v>
                  </c:pt>
                  <c:pt idx="130">
                    <c:v>FashionPoint</c:v>
                  </c:pt>
                  <c:pt idx="131">
                    <c:v>ModernFit</c:v>
                  </c:pt>
                  <c:pt idx="132">
                    <c:v>RoyalThreads</c:v>
                  </c:pt>
                  <c:pt idx="133">
                    <c:v>SmartThreads</c:v>
                  </c:pt>
                  <c:pt idx="134">
                    <c:v>StreetStyle</c:v>
                  </c:pt>
                  <c:pt idx="135">
                    <c:v>StyleCraft</c:v>
                  </c:pt>
                  <c:pt idx="136">
                    <c:v>StyleNest</c:v>
                  </c:pt>
                  <c:pt idx="137">
                    <c:v>TrendWear</c:v>
                  </c:pt>
                  <c:pt idx="138">
                    <c:v>TrendyLook</c:v>
                  </c:pt>
                  <c:pt idx="139">
                    <c:v>UrbanEdge</c:v>
                  </c:pt>
                  <c:pt idx="140">
                    <c:v>UrbanStyle</c:v>
                  </c:pt>
                  <c:pt idx="141">
                    <c:v>UrbanVibe</c:v>
                  </c:pt>
                  <c:pt idx="142">
                    <c:v>VogueWear</c:v>
                  </c:pt>
                </c:lvl>
                <c:lvl>
                  <c:pt idx="0">
                    <c:v>Cap</c:v>
                  </c:pt>
                  <c:pt idx="20">
                    <c:v>Jeans</c:v>
                  </c:pt>
                  <c:pt idx="30">
                    <c:v>Kurta</c:v>
                  </c:pt>
                  <c:pt idx="43">
                    <c:v>Lower</c:v>
                  </c:pt>
                  <c:pt idx="59">
                    <c:v>Saree</c:v>
                  </c:pt>
                  <c:pt idx="75">
                    <c:v>Shirt</c:v>
                  </c:pt>
                  <c:pt idx="91">
                    <c:v>Suit</c:v>
                  </c:pt>
                  <c:pt idx="107">
                    <c:v>Top</c:v>
                  </c:pt>
                  <c:pt idx="123">
                    <c:v>T-Shirt</c:v>
                  </c:pt>
                </c:lvl>
              </c:multiLvlStrCache>
            </c:multiLvlStrRef>
          </c:cat>
          <c:val>
            <c:numRef>
              <c:f>'Sales vs Orders'!$D$4:$D$156</c:f>
              <c:numCache>
                <c:formatCode>General</c:formatCode>
                <c:ptCount val="14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8</c:v>
                </c:pt>
                <c:pt idx="32">
                  <c:v>1</c:v>
                </c:pt>
                <c:pt idx="33">
                  <c:v>1</c:v>
                </c:pt>
                <c:pt idx="34">
                  <c:v>5</c:v>
                </c:pt>
                <c:pt idx="35">
                  <c:v>2</c:v>
                </c:pt>
                <c:pt idx="36">
                  <c:v>3</c:v>
                </c:pt>
                <c:pt idx="37">
                  <c:v>9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2</c:v>
                </c:pt>
                <c:pt idx="46">
                  <c:v>3</c:v>
                </c:pt>
                <c:pt idx="47">
                  <c:v>5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3</c:v>
                </c:pt>
                <c:pt idx="67">
                  <c:v>2</c:v>
                </c:pt>
                <c:pt idx="68">
                  <c:v>3</c:v>
                </c:pt>
                <c:pt idx="69">
                  <c:v>7</c:v>
                </c:pt>
                <c:pt idx="70">
                  <c:v>1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3</c:v>
                </c:pt>
                <c:pt idx="80">
                  <c:v>4</c:v>
                </c:pt>
                <c:pt idx="81">
                  <c:v>6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1</c:v>
                </c:pt>
                <c:pt idx="93">
                  <c:v>2</c:v>
                </c:pt>
                <c:pt idx="94">
                  <c:v>3</c:v>
                </c:pt>
                <c:pt idx="95">
                  <c:v>6</c:v>
                </c:pt>
                <c:pt idx="96">
                  <c:v>4</c:v>
                </c:pt>
                <c:pt idx="97">
                  <c:v>3</c:v>
                </c:pt>
                <c:pt idx="98">
                  <c:v>4</c:v>
                </c:pt>
                <c:pt idx="99">
                  <c:v>1</c:v>
                </c:pt>
                <c:pt idx="100">
                  <c:v>4</c:v>
                </c:pt>
                <c:pt idx="101">
                  <c:v>4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4</c:v>
                </c:pt>
                <c:pt idx="106">
                  <c:v>1</c:v>
                </c:pt>
                <c:pt idx="107">
                  <c:v>5</c:v>
                </c:pt>
                <c:pt idx="108">
                  <c:v>2</c:v>
                </c:pt>
                <c:pt idx="109">
                  <c:v>1</c:v>
                </c:pt>
                <c:pt idx="110">
                  <c:v>6</c:v>
                </c:pt>
                <c:pt idx="111">
                  <c:v>2</c:v>
                </c:pt>
                <c:pt idx="112">
                  <c:v>3</c:v>
                </c:pt>
                <c:pt idx="113">
                  <c:v>5</c:v>
                </c:pt>
                <c:pt idx="114">
                  <c:v>3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9</c:v>
                </c:pt>
                <c:pt idx="123">
                  <c:v>3</c:v>
                </c:pt>
                <c:pt idx="124">
                  <c:v>1</c:v>
                </c:pt>
                <c:pt idx="125">
                  <c:v>4</c:v>
                </c:pt>
                <c:pt idx="126">
                  <c:v>5</c:v>
                </c:pt>
                <c:pt idx="127">
                  <c:v>1</c:v>
                </c:pt>
                <c:pt idx="128">
                  <c:v>3</c:v>
                </c:pt>
                <c:pt idx="129">
                  <c:v>1</c:v>
                </c:pt>
                <c:pt idx="130">
                  <c:v>5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4</c:v>
                </c:pt>
                <c:pt idx="135">
                  <c:v>1</c:v>
                </c:pt>
                <c:pt idx="136">
                  <c:v>3</c:v>
                </c:pt>
                <c:pt idx="137">
                  <c:v>3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4</c:v>
                </c:pt>
                <c:pt idx="14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6E-401A-96E7-E0730A334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46632"/>
        <c:axId val="97943560"/>
      </c:lineChart>
      <c:catAx>
        <c:axId val="26752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4056"/>
        <c:crosses val="autoZero"/>
        <c:auto val="1"/>
        <c:lblAlgn val="ctr"/>
        <c:lblOffset val="100"/>
        <c:noMultiLvlLbl val="0"/>
      </c:catAx>
      <c:valAx>
        <c:axId val="26754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2008"/>
        <c:crosses val="autoZero"/>
        <c:crossBetween val="between"/>
      </c:valAx>
      <c:valAx>
        <c:axId val="97943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6632"/>
        <c:crosses val="max"/>
        <c:crossBetween val="between"/>
      </c:valAx>
      <c:catAx>
        <c:axId val="97946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943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[Book.xlsx]Man VS Women!PivotTable4</c:name>
    <c:fmtId val="0"/>
  </c:pivotSource>
  <c:chart>
    <c:autoTitleDeleted val="1"/>
    <c:pivotFmts>
      <c:pivotFmt>
        <c:idx val="0"/>
        <c:spPr>
          <a:solidFill>
            <a:srgbClr val="30549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 w="19050">
            <a:solidFill>
              <a:srgbClr val="ED7D31"/>
            </a:solidFill>
            <a:prstDash val="solid"/>
          </a:ln>
          <a:effectLst/>
        </c:spPr>
        <c:dLbl>
          <c:idx val="0"/>
          <c:layout>
            <c:manualLayout>
              <c:x val="2.2491495247588068E-2"/>
              <c:y val="-1.2338473102239279E-3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0549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44470471159367"/>
              <c:y val="-0.16950079238459967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'Man VS Women'!$B$3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</c:spPr>
          <c:dPt>
            <c:idx val="0"/>
            <c:bubble3D val="0"/>
            <c:spPr>
              <a:solidFill>
                <a:srgbClr val="30549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6640-454A-9212-0B8F0381CAF6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2E-49A9-973A-42CA3A952AC3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rgbClr val="ED7D31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CF-44C5-ABF6-00C56D6F2230}"/>
              </c:ext>
            </c:extLst>
          </c:dPt>
          <c:dLbls>
            <c:dLbl>
              <c:idx val="0"/>
              <c:layout>
                <c:manualLayout>
                  <c:x val="-0.13044470471159367"/>
                  <c:y val="-0.1695007923845996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40-454A-9212-0B8F0381CAF6}"/>
                </c:ext>
              </c:extLst>
            </c:dLbl>
            <c:dLbl>
              <c:idx val="2"/>
              <c:layout>
                <c:manualLayout>
                  <c:x val="2.2491495247588068E-2"/>
                  <c:y val="-1.233847310223927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CF-44C5-ABF6-00C56D6F2230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'Man VS Women'!$A$4:$A$7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'Man VS Women'!$B$4:$B$7</c:f>
              <c:numCache>
                <c:formatCode>General</c:formatCode>
                <c:ptCount val="3"/>
                <c:pt idx="0">
                  <c:v>469010</c:v>
                </c:pt>
                <c:pt idx="1">
                  <c:v>210419</c:v>
                </c:pt>
                <c:pt idx="2">
                  <c:v>9692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F-44C5-ABF6-00C56D6F2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[Book.xlsx]Payment Method!PivotTable1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layout>
        <c:manualLayout>
          <c:xMode val="edge"/>
          <c:yMode val="edge"/>
          <c:x val="3.2705477140021921E-2"/>
          <c:y val="0.1040876755601778"/>
        </c:manualLayout>
      </c:layout>
      <c:overlay val="0"/>
      <c:spPr>
        <a:solidFill>
          <a:srgbClr val="0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30549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30549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7E4-4062-8D3F-6048C5411E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1F-4A19-9666-209F0F97686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E4-4062-8D3F-6048C5411EE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E4-4062-8D3F-6048C5411E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1F-4A19-9666-209F0F9768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1F-4A19-9666-209F0F9768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Method'!$A$4:$A$10</c:f>
              <c:strCache>
                <c:ptCount val="6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'Payment Method'!$B$4:$B$10</c:f>
              <c:numCache>
                <c:formatCode>General</c:formatCode>
                <c:ptCount val="6"/>
                <c:pt idx="0">
                  <c:v>97145</c:v>
                </c:pt>
                <c:pt idx="1">
                  <c:v>146527</c:v>
                </c:pt>
                <c:pt idx="2">
                  <c:v>109231</c:v>
                </c:pt>
                <c:pt idx="3">
                  <c:v>93255</c:v>
                </c:pt>
                <c:pt idx="4">
                  <c:v>153416</c:v>
                </c:pt>
                <c:pt idx="5">
                  <c:v>89547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4-4062-8D3F-6048C5411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[Book.xlsx]top 10 cities!PivotTable1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Sales Cities</a:t>
            </a:r>
          </a:p>
        </c:rich>
      </c:tx>
      <c:overlay val="0"/>
      <c:spPr>
        <a:solidFill>
          <a:srgbClr val="20376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cities'!$C$3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'top 10 cities'!$A$4:$B$34</c:f>
              <c:multiLvlStrCache>
                <c:ptCount val="20"/>
                <c:lvl>
                  <c:pt idx="0">
                    <c:v>L</c:v>
                  </c:pt>
                  <c:pt idx="1">
                    <c:v>M</c:v>
                  </c:pt>
                  <c:pt idx="2">
                    <c:v>L</c:v>
                  </c:pt>
                  <c:pt idx="3">
                    <c:v>XL</c:v>
                  </c:pt>
                  <c:pt idx="4">
                    <c:v>L</c:v>
                  </c:pt>
                  <c:pt idx="5">
                    <c:v>S</c:v>
                  </c:pt>
                  <c:pt idx="6">
                    <c:v>L</c:v>
                  </c:pt>
                  <c:pt idx="7">
                    <c:v>M</c:v>
                  </c:pt>
                  <c:pt idx="8">
                    <c:v>S</c:v>
                  </c:pt>
                  <c:pt idx="9">
                    <c:v>XXL</c:v>
                  </c:pt>
                  <c:pt idx="10">
                    <c:v>M</c:v>
                  </c:pt>
                  <c:pt idx="11">
                    <c:v>XL</c:v>
                  </c:pt>
                  <c:pt idx="12">
                    <c:v>XL</c:v>
                  </c:pt>
                  <c:pt idx="13">
                    <c:v>L</c:v>
                  </c:pt>
                  <c:pt idx="14">
                    <c:v>XXL</c:v>
                  </c:pt>
                  <c:pt idx="15">
                    <c:v>M</c:v>
                  </c:pt>
                  <c:pt idx="16">
                    <c:v>L</c:v>
                  </c:pt>
                  <c:pt idx="17">
                    <c:v>XL</c:v>
                  </c:pt>
                  <c:pt idx="18">
                    <c:v>L</c:v>
                  </c:pt>
                  <c:pt idx="19">
                    <c:v>XXL</c:v>
                  </c:pt>
                </c:lvl>
                <c:lvl>
                  <c:pt idx="0">
                    <c:v>Ahmedabad</c:v>
                  </c:pt>
                  <c:pt idx="2">
                    <c:v>Ajmer</c:v>
                  </c:pt>
                  <c:pt idx="4">
                    <c:v>Cuttack</c:v>
                  </c:pt>
                  <c:pt idx="6">
                    <c:v>Delhi</c:v>
                  </c:pt>
                  <c:pt idx="10">
                    <c:v>Kota</c:v>
                  </c:pt>
                  <c:pt idx="12">
                    <c:v>Kozhikode</c:v>
                  </c:pt>
                  <c:pt idx="13">
                    <c:v>Patna</c:v>
                  </c:pt>
                  <c:pt idx="15">
                    <c:v>Raipur</c:v>
                  </c:pt>
                  <c:pt idx="16">
                    <c:v>Srinagar</c:v>
                  </c:pt>
                  <c:pt idx="18">
                    <c:v>Udaipur</c:v>
                  </c:pt>
                </c:lvl>
              </c:multiLvlStrCache>
            </c:multiLvlStrRef>
          </c:cat>
          <c:val>
            <c:numRef>
              <c:f>'top 10 cities'!$C$4:$C$34</c:f>
              <c:numCache>
                <c:formatCode>General</c:formatCode>
                <c:ptCount val="20"/>
                <c:pt idx="0">
                  <c:v>10497</c:v>
                </c:pt>
                <c:pt idx="1">
                  <c:v>799</c:v>
                </c:pt>
                <c:pt idx="2">
                  <c:v>13395</c:v>
                </c:pt>
                <c:pt idx="3">
                  <c:v>1299</c:v>
                </c:pt>
                <c:pt idx="4">
                  <c:v>4998</c:v>
                </c:pt>
                <c:pt idx="5">
                  <c:v>5798</c:v>
                </c:pt>
                <c:pt idx="6">
                  <c:v>2598</c:v>
                </c:pt>
                <c:pt idx="7">
                  <c:v>6597</c:v>
                </c:pt>
                <c:pt idx="8">
                  <c:v>4398</c:v>
                </c:pt>
                <c:pt idx="9">
                  <c:v>4598</c:v>
                </c:pt>
                <c:pt idx="10">
                  <c:v>3998</c:v>
                </c:pt>
                <c:pt idx="11">
                  <c:v>7297</c:v>
                </c:pt>
                <c:pt idx="12">
                  <c:v>10497</c:v>
                </c:pt>
                <c:pt idx="13">
                  <c:v>10497</c:v>
                </c:pt>
                <c:pt idx="14">
                  <c:v>9196</c:v>
                </c:pt>
                <c:pt idx="15">
                  <c:v>11195</c:v>
                </c:pt>
                <c:pt idx="16">
                  <c:v>6998</c:v>
                </c:pt>
                <c:pt idx="17">
                  <c:v>5997</c:v>
                </c:pt>
                <c:pt idx="18">
                  <c:v>8997</c:v>
                </c:pt>
                <c:pt idx="19">
                  <c:v>7497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F0-412A-AFDD-AD0CB9F12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537671"/>
        <c:axId val="1254139399"/>
      </c:barChart>
      <c:valAx>
        <c:axId val="125413939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90353767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90353767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spPr>
          <a:solidFill>
            <a:srgbClr val="FFF2CC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541393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[Book.xlsx]Product buy m and f!PivotTable1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buy Male Or Female</a:t>
            </a:r>
          </a:p>
        </c:rich>
      </c:tx>
      <c:layout>
        <c:manualLayout>
          <c:xMode val="edge"/>
          <c:yMode val="edge"/>
          <c:x val="0.30970119015186431"/>
          <c:y val="2.77775508333702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9BD5"/>
          </a:solidFill>
          <a:ln>
            <a:solidFill>
              <a:srgbClr val="000000"/>
            </a:solidFill>
            <a:prstDash val="solid"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buy m and f'!$B$3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5B9BD5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EC-4028-AC6B-1B8A1CAA6F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buy m and f'!$A$4:$A$7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'Product buy m and f'!$B$4:$B$7</c:f>
              <c:numCache>
                <c:formatCode>General</c:formatCode>
                <c:ptCount val="3"/>
                <c:pt idx="0">
                  <c:v>98</c:v>
                </c:pt>
                <c:pt idx="1">
                  <c:v>99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C-4B5C-9B33-CC5218FC43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2785672"/>
        <c:axId val="92795912"/>
      </c:barChart>
      <c:catAx>
        <c:axId val="9278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5912"/>
        <c:crosses val="autoZero"/>
        <c:auto val="1"/>
        <c:lblAlgn val="ctr"/>
        <c:lblOffset val="100"/>
        <c:noMultiLvlLbl val="0"/>
      </c:catAx>
      <c:valAx>
        <c:axId val="92795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8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[Book.xlsx]Sales vs Orders!PivotTable3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vs Orders'!$C$3</c:f>
              <c:strCache>
                <c:ptCount val="1"/>
                <c:pt idx="0">
                  <c:v>Sum of TOTAL 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vs Orders'!$A$4:$B$156</c:f>
              <c:multiLvlStrCache>
                <c:ptCount val="143"/>
                <c:lvl>
                  <c:pt idx="0">
                    <c:v>ClassicWear</c:v>
                  </c:pt>
                  <c:pt idx="1">
                    <c:v>CottonClub</c:v>
                  </c:pt>
                  <c:pt idx="2">
                    <c:v>DailyStyle</c:v>
                  </c:pt>
                  <c:pt idx="3">
                    <c:v>DenimZone</c:v>
                  </c:pt>
                  <c:pt idx="4">
                    <c:v>Elegance</c:v>
                  </c:pt>
                  <c:pt idx="5">
                    <c:v>EliteWear</c:v>
                  </c:pt>
                  <c:pt idx="6">
                    <c:v>FashionHub</c:v>
                  </c:pt>
                  <c:pt idx="7">
                    <c:v>FashionPoint</c:v>
                  </c:pt>
                  <c:pt idx="8">
                    <c:v>ModernFit</c:v>
                  </c:pt>
                  <c:pt idx="9">
                    <c:v>RoyalThreads</c:v>
                  </c:pt>
                  <c:pt idx="10">
                    <c:v>SmartThreads</c:v>
                  </c:pt>
                  <c:pt idx="11">
                    <c:v>StreetStyle</c:v>
                  </c:pt>
                  <c:pt idx="12">
                    <c:v>StyleCraft</c:v>
                  </c:pt>
                  <c:pt idx="13">
                    <c:v>StyleNest</c:v>
                  </c:pt>
                  <c:pt idx="14">
                    <c:v>TrendWear</c:v>
                  </c:pt>
                  <c:pt idx="15">
                    <c:v>TrendyLook</c:v>
                  </c:pt>
                  <c:pt idx="16">
                    <c:v>UrbanEdge</c:v>
                  </c:pt>
                  <c:pt idx="17">
                    <c:v>UrbanStyle</c:v>
                  </c:pt>
                  <c:pt idx="18">
                    <c:v>UrbanVibe</c:v>
                  </c:pt>
                  <c:pt idx="19">
                    <c:v>VogueWear</c:v>
                  </c:pt>
                  <c:pt idx="20">
                    <c:v>DailyStyle</c:v>
                  </c:pt>
                  <c:pt idx="21">
                    <c:v>DenimZone</c:v>
                  </c:pt>
                  <c:pt idx="22">
                    <c:v>EliteWear</c:v>
                  </c:pt>
                  <c:pt idx="23">
                    <c:v>FashionPoint</c:v>
                  </c:pt>
                  <c:pt idx="24">
                    <c:v>StreetStyle</c:v>
                  </c:pt>
                  <c:pt idx="25">
                    <c:v>StyleNest</c:v>
                  </c:pt>
                  <c:pt idx="26">
                    <c:v>TrendWear</c:v>
                  </c:pt>
                  <c:pt idx="27">
                    <c:v>UrbanEdge</c:v>
                  </c:pt>
                  <c:pt idx="28">
                    <c:v>UrbanStyle</c:v>
                  </c:pt>
                  <c:pt idx="29">
                    <c:v>UrbanVibe</c:v>
                  </c:pt>
                  <c:pt idx="30">
                    <c:v>ClassicWear</c:v>
                  </c:pt>
                  <c:pt idx="31">
                    <c:v>CottonClub</c:v>
                  </c:pt>
                  <c:pt idx="32">
                    <c:v>DailyStyle</c:v>
                  </c:pt>
                  <c:pt idx="33">
                    <c:v>Elegance</c:v>
                  </c:pt>
                  <c:pt idx="34">
                    <c:v>FashionHub</c:v>
                  </c:pt>
                  <c:pt idx="35">
                    <c:v>FashionPoint</c:v>
                  </c:pt>
                  <c:pt idx="36">
                    <c:v>ModernFit</c:v>
                  </c:pt>
                  <c:pt idx="37">
                    <c:v>RoyalThreads</c:v>
                  </c:pt>
                  <c:pt idx="38">
                    <c:v>SmartThreads</c:v>
                  </c:pt>
                  <c:pt idx="39">
                    <c:v>StyleNest</c:v>
                  </c:pt>
                  <c:pt idx="40">
                    <c:v>TrendyLook</c:v>
                  </c:pt>
                  <c:pt idx="41">
                    <c:v>UrbanStyle</c:v>
                  </c:pt>
                  <c:pt idx="42">
                    <c:v>UrbanVibe</c:v>
                  </c:pt>
                  <c:pt idx="43">
                    <c:v>ClassicWear</c:v>
                  </c:pt>
                  <c:pt idx="44">
                    <c:v>CottonClub</c:v>
                  </c:pt>
                  <c:pt idx="45">
                    <c:v>DailyStyle</c:v>
                  </c:pt>
                  <c:pt idx="46">
                    <c:v>Elegance</c:v>
                  </c:pt>
                  <c:pt idx="47">
                    <c:v>FashionHub</c:v>
                  </c:pt>
                  <c:pt idx="48">
                    <c:v>FashionPoint</c:v>
                  </c:pt>
                  <c:pt idx="49">
                    <c:v>ModernFit</c:v>
                  </c:pt>
                  <c:pt idx="50">
                    <c:v>RoyalThreads</c:v>
                  </c:pt>
                  <c:pt idx="51">
                    <c:v>SmartThreads</c:v>
                  </c:pt>
                  <c:pt idx="52">
                    <c:v>StreetStyle</c:v>
                  </c:pt>
                  <c:pt idx="53">
                    <c:v>StyleCraft</c:v>
                  </c:pt>
                  <c:pt idx="54">
                    <c:v>StyleNest</c:v>
                  </c:pt>
                  <c:pt idx="55">
                    <c:v>TrendWear</c:v>
                  </c:pt>
                  <c:pt idx="56">
                    <c:v>UrbanEdge</c:v>
                  </c:pt>
                  <c:pt idx="57">
                    <c:v>UrbanStyle</c:v>
                  </c:pt>
                  <c:pt idx="58">
                    <c:v>VogueWear</c:v>
                  </c:pt>
                  <c:pt idx="59">
                    <c:v>DailyStyle</c:v>
                  </c:pt>
                  <c:pt idx="60">
                    <c:v>DenimZone</c:v>
                  </c:pt>
                  <c:pt idx="61">
                    <c:v>Elegance</c:v>
                  </c:pt>
                  <c:pt idx="62">
                    <c:v>EliteWear</c:v>
                  </c:pt>
                  <c:pt idx="63">
                    <c:v>FashionHub</c:v>
                  </c:pt>
                  <c:pt idx="64">
                    <c:v>ModernFit</c:v>
                  </c:pt>
                  <c:pt idx="65">
                    <c:v>RoyalThreads</c:v>
                  </c:pt>
                  <c:pt idx="66">
                    <c:v>SmartThreads</c:v>
                  </c:pt>
                  <c:pt idx="67">
                    <c:v>StreetStyle</c:v>
                  </c:pt>
                  <c:pt idx="68">
                    <c:v>StyleCraft</c:v>
                  </c:pt>
                  <c:pt idx="69">
                    <c:v>StyleNest</c:v>
                  </c:pt>
                  <c:pt idx="70">
                    <c:v>TrendWear</c:v>
                  </c:pt>
                  <c:pt idx="71">
                    <c:v>TrendyLook</c:v>
                  </c:pt>
                  <c:pt idx="72">
                    <c:v>UrbanEdge</c:v>
                  </c:pt>
                  <c:pt idx="73">
                    <c:v>UrbanVibe</c:v>
                  </c:pt>
                  <c:pt idx="74">
                    <c:v>VogueWear</c:v>
                  </c:pt>
                  <c:pt idx="75">
                    <c:v>CottonClub</c:v>
                  </c:pt>
                  <c:pt idx="76">
                    <c:v>DailyStyle</c:v>
                  </c:pt>
                  <c:pt idx="77">
                    <c:v>Elegance</c:v>
                  </c:pt>
                  <c:pt idx="78">
                    <c:v>EliteWear</c:v>
                  </c:pt>
                  <c:pt idx="79">
                    <c:v>FashionHub</c:v>
                  </c:pt>
                  <c:pt idx="80">
                    <c:v>FashionPoint</c:v>
                  </c:pt>
                  <c:pt idx="81">
                    <c:v>ModernFit</c:v>
                  </c:pt>
                  <c:pt idx="82">
                    <c:v>RoyalThreads</c:v>
                  </c:pt>
                  <c:pt idx="83">
                    <c:v>SmartThreads</c:v>
                  </c:pt>
                  <c:pt idx="84">
                    <c:v>StreetStyle</c:v>
                  </c:pt>
                  <c:pt idx="85">
                    <c:v>StyleCraft</c:v>
                  </c:pt>
                  <c:pt idx="86">
                    <c:v>TrendWear</c:v>
                  </c:pt>
                  <c:pt idx="87">
                    <c:v>TrendyLook</c:v>
                  </c:pt>
                  <c:pt idx="88">
                    <c:v>UrbanEdge</c:v>
                  </c:pt>
                  <c:pt idx="89">
                    <c:v>UrbanVibe</c:v>
                  </c:pt>
                  <c:pt idx="90">
                    <c:v>VogueWear</c:v>
                  </c:pt>
                  <c:pt idx="91">
                    <c:v>CottonClub</c:v>
                  </c:pt>
                  <c:pt idx="92">
                    <c:v>DailyStyle</c:v>
                  </c:pt>
                  <c:pt idx="93">
                    <c:v>DenimZone</c:v>
                  </c:pt>
                  <c:pt idx="94">
                    <c:v>Elegance</c:v>
                  </c:pt>
                  <c:pt idx="95">
                    <c:v>EliteWear</c:v>
                  </c:pt>
                  <c:pt idx="96">
                    <c:v>FashionHub</c:v>
                  </c:pt>
                  <c:pt idx="97">
                    <c:v>FashionPoint</c:v>
                  </c:pt>
                  <c:pt idx="98">
                    <c:v>ModernFit</c:v>
                  </c:pt>
                  <c:pt idx="99">
                    <c:v>StreetStyle</c:v>
                  </c:pt>
                  <c:pt idx="100">
                    <c:v>StyleCraft</c:v>
                  </c:pt>
                  <c:pt idx="101">
                    <c:v>TrendWear</c:v>
                  </c:pt>
                  <c:pt idx="102">
                    <c:v>TrendyLook</c:v>
                  </c:pt>
                  <c:pt idx="103">
                    <c:v>UrbanEdge</c:v>
                  </c:pt>
                  <c:pt idx="104">
                    <c:v>UrbanStyle</c:v>
                  </c:pt>
                  <c:pt idx="105">
                    <c:v>UrbanVibe</c:v>
                  </c:pt>
                  <c:pt idx="106">
                    <c:v>VogueWear</c:v>
                  </c:pt>
                  <c:pt idx="107">
                    <c:v>ClassicWear</c:v>
                  </c:pt>
                  <c:pt idx="108">
                    <c:v>CottonClub</c:v>
                  </c:pt>
                  <c:pt idx="109">
                    <c:v>DenimZone</c:v>
                  </c:pt>
                  <c:pt idx="110">
                    <c:v>Elegance</c:v>
                  </c:pt>
                  <c:pt idx="111">
                    <c:v>EliteWear</c:v>
                  </c:pt>
                  <c:pt idx="112">
                    <c:v>FashionHub</c:v>
                  </c:pt>
                  <c:pt idx="113">
                    <c:v>ModernFit</c:v>
                  </c:pt>
                  <c:pt idx="114">
                    <c:v>RoyalThreads</c:v>
                  </c:pt>
                  <c:pt idx="115">
                    <c:v>SmartThreads</c:v>
                  </c:pt>
                  <c:pt idx="116">
                    <c:v>StreetStyle</c:v>
                  </c:pt>
                  <c:pt idx="117">
                    <c:v>StyleCraft</c:v>
                  </c:pt>
                  <c:pt idx="118">
                    <c:v>StyleNest</c:v>
                  </c:pt>
                  <c:pt idx="119">
                    <c:v>TrendWear</c:v>
                  </c:pt>
                  <c:pt idx="120">
                    <c:v>TrendyLook</c:v>
                  </c:pt>
                  <c:pt idx="121">
                    <c:v>UrbanEdge</c:v>
                  </c:pt>
                  <c:pt idx="122">
                    <c:v>VogueWear</c:v>
                  </c:pt>
                  <c:pt idx="123">
                    <c:v>ClassicWear</c:v>
                  </c:pt>
                  <c:pt idx="124">
                    <c:v>CottonClub</c:v>
                  </c:pt>
                  <c:pt idx="125">
                    <c:v>DailyStyle</c:v>
                  </c:pt>
                  <c:pt idx="126">
                    <c:v>DenimZone</c:v>
                  </c:pt>
                  <c:pt idx="127">
                    <c:v>Elegance</c:v>
                  </c:pt>
                  <c:pt idx="128">
                    <c:v>EliteWear</c:v>
                  </c:pt>
                  <c:pt idx="129">
                    <c:v>FashionHub</c:v>
                  </c:pt>
                  <c:pt idx="130">
                    <c:v>FashionPoint</c:v>
                  </c:pt>
                  <c:pt idx="131">
                    <c:v>ModernFit</c:v>
                  </c:pt>
                  <c:pt idx="132">
                    <c:v>RoyalThreads</c:v>
                  </c:pt>
                  <c:pt idx="133">
                    <c:v>SmartThreads</c:v>
                  </c:pt>
                  <c:pt idx="134">
                    <c:v>StreetStyle</c:v>
                  </c:pt>
                  <c:pt idx="135">
                    <c:v>StyleCraft</c:v>
                  </c:pt>
                  <c:pt idx="136">
                    <c:v>StyleNest</c:v>
                  </c:pt>
                  <c:pt idx="137">
                    <c:v>TrendWear</c:v>
                  </c:pt>
                  <c:pt idx="138">
                    <c:v>TrendyLook</c:v>
                  </c:pt>
                  <c:pt idx="139">
                    <c:v>UrbanEdge</c:v>
                  </c:pt>
                  <c:pt idx="140">
                    <c:v>UrbanStyle</c:v>
                  </c:pt>
                  <c:pt idx="141">
                    <c:v>UrbanVibe</c:v>
                  </c:pt>
                  <c:pt idx="142">
                    <c:v>VogueWear</c:v>
                  </c:pt>
                </c:lvl>
                <c:lvl>
                  <c:pt idx="0">
                    <c:v>Cap</c:v>
                  </c:pt>
                  <c:pt idx="20">
                    <c:v>Jeans</c:v>
                  </c:pt>
                  <c:pt idx="30">
                    <c:v>Kurta</c:v>
                  </c:pt>
                  <c:pt idx="43">
                    <c:v>Lower</c:v>
                  </c:pt>
                  <c:pt idx="59">
                    <c:v>Saree</c:v>
                  </c:pt>
                  <c:pt idx="75">
                    <c:v>Shirt</c:v>
                  </c:pt>
                  <c:pt idx="91">
                    <c:v>Suit</c:v>
                  </c:pt>
                  <c:pt idx="107">
                    <c:v>Top</c:v>
                  </c:pt>
                  <c:pt idx="123">
                    <c:v>T-Shirt</c:v>
                  </c:pt>
                </c:lvl>
              </c:multiLvlStrCache>
            </c:multiLvlStrRef>
          </c:cat>
          <c:val>
            <c:numRef>
              <c:f>'Sales vs Orders'!$C$4:$C$156</c:f>
              <c:numCache>
                <c:formatCode>General</c:formatCode>
                <c:ptCount val="143"/>
                <c:pt idx="0">
                  <c:v>4598</c:v>
                </c:pt>
                <c:pt idx="1">
                  <c:v>6998</c:v>
                </c:pt>
                <c:pt idx="2">
                  <c:v>2798</c:v>
                </c:pt>
                <c:pt idx="3">
                  <c:v>1199</c:v>
                </c:pt>
                <c:pt idx="4">
                  <c:v>7497</c:v>
                </c:pt>
                <c:pt idx="5">
                  <c:v>799</c:v>
                </c:pt>
                <c:pt idx="6">
                  <c:v>10497</c:v>
                </c:pt>
                <c:pt idx="7">
                  <c:v>1199</c:v>
                </c:pt>
                <c:pt idx="8">
                  <c:v>5697</c:v>
                </c:pt>
                <c:pt idx="9">
                  <c:v>8997</c:v>
                </c:pt>
                <c:pt idx="10">
                  <c:v>4598</c:v>
                </c:pt>
                <c:pt idx="11">
                  <c:v>998</c:v>
                </c:pt>
                <c:pt idx="12">
                  <c:v>1999</c:v>
                </c:pt>
                <c:pt idx="13">
                  <c:v>1398</c:v>
                </c:pt>
                <c:pt idx="14">
                  <c:v>1798</c:v>
                </c:pt>
                <c:pt idx="15">
                  <c:v>2599</c:v>
                </c:pt>
                <c:pt idx="16">
                  <c:v>999</c:v>
                </c:pt>
                <c:pt idx="17">
                  <c:v>2598</c:v>
                </c:pt>
                <c:pt idx="18">
                  <c:v>1499</c:v>
                </c:pt>
                <c:pt idx="19">
                  <c:v>7497</c:v>
                </c:pt>
                <c:pt idx="20">
                  <c:v>2298</c:v>
                </c:pt>
                <c:pt idx="21">
                  <c:v>7195</c:v>
                </c:pt>
                <c:pt idx="22">
                  <c:v>4995</c:v>
                </c:pt>
                <c:pt idx="23">
                  <c:v>4496</c:v>
                </c:pt>
                <c:pt idx="24">
                  <c:v>4596</c:v>
                </c:pt>
                <c:pt idx="25">
                  <c:v>4797</c:v>
                </c:pt>
                <c:pt idx="26">
                  <c:v>3896</c:v>
                </c:pt>
                <c:pt idx="27">
                  <c:v>5495</c:v>
                </c:pt>
                <c:pt idx="28">
                  <c:v>3098</c:v>
                </c:pt>
                <c:pt idx="29">
                  <c:v>2597</c:v>
                </c:pt>
                <c:pt idx="30">
                  <c:v>5498</c:v>
                </c:pt>
                <c:pt idx="31">
                  <c:v>19392</c:v>
                </c:pt>
                <c:pt idx="32">
                  <c:v>1599</c:v>
                </c:pt>
                <c:pt idx="33">
                  <c:v>3499</c:v>
                </c:pt>
                <c:pt idx="34">
                  <c:v>12695</c:v>
                </c:pt>
                <c:pt idx="35">
                  <c:v>1398</c:v>
                </c:pt>
                <c:pt idx="36">
                  <c:v>8397</c:v>
                </c:pt>
                <c:pt idx="37">
                  <c:v>25091</c:v>
                </c:pt>
                <c:pt idx="38">
                  <c:v>2199</c:v>
                </c:pt>
                <c:pt idx="39">
                  <c:v>1299</c:v>
                </c:pt>
                <c:pt idx="40">
                  <c:v>1799</c:v>
                </c:pt>
                <c:pt idx="41">
                  <c:v>2796</c:v>
                </c:pt>
                <c:pt idx="42">
                  <c:v>3996</c:v>
                </c:pt>
                <c:pt idx="43">
                  <c:v>5697</c:v>
                </c:pt>
                <c:pt idx="44">
                  <c:v>12396</c:v>
                </c:pt>
                <c:pt idx="45">
                  <c:v>2598</c:v>
                </c:pt>
                <c:pt idx="46">
                  <c:v>8397</c:v>
                </c:pt>
                <c:pt idx="47">
                  <c:v>8395</c:v>
                </c:pt>
                <c:pt idx="48">
                  <c:v>1598</c:v>
                </c:pt>
                <c:pt idx="49">
                  <c:v>8397</c:v>
                </c:pt>
                <c:pt idx="50">
                  <c:v>2599</c:v>
                </c:pt>
                <c:pt idx="51">
                  <c:v>3998</c:v>
                </c:pt>
                <c:pt idx="52">
                  <c:v>2998</c:v>
                </c:pt>
                <c:pt idx="53">
                  <c:v>3499</c:v>
                </c:pt>
                <c:pt idx="54">
                  <c:v>1499</c:v>
                </c:pt>
                <c:pt idx="55">
                  <c:v>1199</c:v>
                </c:pt>
                <c:pt idx="56">
                  <c:v>9196</c:v>
                </c:pt>
                <c:pt idx="57">
                  <c:v>4397</c:v>
                </c:pt>
                <c:pt idx="58">
                  <c:v>3299</c:v>
                </c:pt>
                <c:pt idx="59">
                  <c:v>2598</c:v>
                </c:pt>
                <c:pt idx="60">
                  <c:v>2997</c:v>
                </c:pt>
                <c:pt idx="61">
                  <c:v>9897</c:v>
                </c:pt>
                <c:pt idx="62">
                  <c:v>899</c:v>
                </c:pt>
                <c:pt idx="63">
                  <c:v>2999</c:v>
                </c:pt>
                <c:pt idx="64">
                  <c:v>3499</c:v>
                </c:pt>
                <c:pt idx="65">
                  <c:v>4398</c:v>
                </c:pt>
                <c:pt idx="66">
                  <c:v>5997</c:v>
                </c:pt>
                <c:pt idx="67">
                  <c:v>1398</c:v>
                </c:pt>
                <c:pt idx="68">
                  <c:v>7497</c:v>
                </c:pt>
                <c:pt idx="69">
                  <c:v>8693</c:v>
                </c:pt>
                <c:pt idx="70">
                  <c:v>1599</c:v>
                </c:pt>
                <c:pt idx="71">
                  <c:v>6697</c:v>
                </c:pt>
                <c:pt idx="72">
                  <c:v>1598</c:v>
                </c:pt>
                <c:pt idx="73">
                  <c:v>999</c:v>
                </c:pt>
                <c:pt idx="74">
                  <c:v>5998</c:v>
                </c:pt>
                <c:pt idx="75">
                  <c:v>1399</c:v>
                </c:pt>
                <c:pt idx="76">
                  <c:v>1599</c:v>
                </c:pt>
                <c:pt idx="77">
                  <c:v>2599</c:v>
                </c:pt>
                <c:pt idx="78">
                  <c:v>699</c:v>
                </c:pt>
                <c:pt idx="79">
                  <c:v>7497</c:v>
                </c:pt>
                <c:pt idx="80">
                  <c:v>3196</c:v>
                </c:pt>
                <c:pt idx="81">
                  <c:v>16794</c:v>
                </c:pt>
                <c:pt idx="82">
                  <c:v>2799</c:v>
                </c:pt>
                <c:pt idx="83">
                  <c:v>1799</c:v>
                </c:pt>
                <c:pt idx="84">
                  <c:v>1399</c:v>
                </c:pt>
                <c:pt idx="85">
                  <c:v>6397</c:v>
                </c:pt>
                <c:pt idx="86">
                  <c:v>3897</c:v>
                </c:pt>
                <c:pt idx="87">
                  <c:v>6397</c:v>
                </c:pt>
                <c:pt idx="88">
                  <c:v>2697</c:v>
                </c:pt>
                <c:pt idx="89">
                  <c:v>2597</c:v>
                </c:pt>
                <c:pt idx="90">
                  <c:v>1999</c:v>
                </c:pt>
                <c:pt idx="91">
                  <c:v>8397</c:v>
                </c:pt>
                <c:pt idx="92">
                  <c:v>1099</c:v>
                </c:pt>
                <c:pt idx="93">
                  <c:v>1698</c:v>
                </c:pt>
                <c:pt idx="94">
                  <c:v>7797</c:v>
                </c:pt>
                <c:pt idx="95">
                  <c:v>4994</c:v>
                </c:pt>
                <c:pt idx="96">
                  <c:v>9996</c:v>
                </c:pt>
                <c:pt idx="97">
                  <c:v>2997</c:v>
                </c:pt>
                <c:pt idx="98">
                  <c:v>7996</c:v>
                </c:pt>
                <c:pt idx="99">
                  <c:v>699</c:v>
                </c:pt>
                <c:pt idx="100">
                  <c:v>10396</c:v>
                </c:pt>
                <c:pt idx="101">
                  <c:v>3596</c:v>
                </c:pt>
                <c:pt idx="102">
                  <c:v>1899</c:v>
                </c:pt>
                <c:pt idx="103">
                  <c:v>1598</c:v>
                </c:pt>
                <c:pt idx="104">
                  <c:v>1299</c:v>
                </c:pt>
                <c:pt idx="105">
                  <c:v>4796</c:v>
                </c:pt>
                <c:pt idx="106">
                  <c:v>2199</c:v>
                </c:pt>
                <c:pt idx="107">
                  <c:v>10395</c:v>
                </c:pt>
                <c:pt idx="108">
                  <c:v>6998</c:v>
                </c:pt>
                <c:pt idx="109">
                  <c:v>1399</c:v>
                </c:pt>
                <c:pt idx="110">
                  <c:v>16694</c:v>
                </c:pt>
                <c:pt idx="111">
                  <c:v>2398</c:v>
                </c:pt>
                <c:pt idx="112">
                  <c:v>8397</c:v>
                </c:pt>
                <c:pt idx="113">
                  <c:v>14395</c:v>
                </c:pt>
                <c:pt idx="114">
                  <c:v>6797</c:v>
                </c:pt>
                <c:pt idx="115">
                  <c:v>5396</c:v>
                </c:pt>
                <c:pt idx="116">
                  <c:v>5996</c:v>
                </c:pt>
                <c:pt idx="117">
                  <c:v>6197</c:v>
                </c:pt>
                <c:pt idx="118">
                  <c:v>1798</c:v>
                </c:pt>
                <c:pt idx="119">
                  <c:v>1998</c:v>
                </c:pt>
                <c:pt idx="120">
                  <c:v>4198</c:v>
                </c:pt>
                <c:pt idx="121">
                  <c:v>1798</c:v>
                </c:pt>
                <c:pt idx="122">
                  <c:v>20991</c:v>
                </c:pt>
                <c:pt idx="123">
                  <c:v>8397</c:v>
                </c:pt>
                <c:pt idx="124">
                  <c:v>2499</c:v>
                </c:pt>
                <c:pt idx="125">
                  <c:v>5896</c:v>
                </c:pt>
                <c:pt idx="126">
                  <c:v>4695</c:v>
                </c:pt>
                <c:pt idx="127">
                  <c:v>699</c:v>
                </c:pt>
                <c:pt idx="128">
                  <c:v>4497</c:v>
                </c:pt>
                <c:pt idx="129">
                  <c:v>3499</c:v>
                </c:pt>
                <c:pt idx="130">
                  <c:v>5095</c:v>
                </c:pt>
                <c:pt idx="131">
                  <c:v>2799</c:v>
                </c:pt>
                <c:pt idx="132">
                  <c:v>5997</c:v>
                </c:pt>
                <c:pt idx="133">
                  <c:v>4798</c:v>
                </c:pt>
                <c:pt idx="134">
                  <c:v>6396</c:v>
                </c:pt>
                <c:pt idx="135">
                  <c:v>2999</c:v>
                </c:pt>
                <c:pt idx="136">
                  <c:v>3697</c:v>
                </c:pt>
                <c:pt idx="137">
                  <c:v>2597</c:v>
                </c:pt>
                <c:pt idx="138">
                  <c:v>4398</c:v>
                </c:pt>
                <c:pt idx="139">
                  <c:v>1798</c:v>
                </c:pt>
                <c:pt idx="140">
                  <c:v>1998</c:v>
                </c:pt>
                <c:pt idx="141">
                  <c:v>4196</c:v>
                </c:pt>
                <c:pt idx="142">
                  <c:v>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7-4F6A-B97E-4A4EF8638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752008"/>
        <c:axId val="26754056"/>
      </c:barChart>
      <c:lineChart>
        <c:grouping val="standard"/>
        <c:varyColors val="0"/>
        <c:ser>
          <c:idx val="1"/>
          <c:order val="1"/>
          <c:tx>
            <c:strRef>
              <c:f>'Sales vs Orders'!$D$3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'Sales vs Orders'!$A$4:$B$156</c:f>
              <c:multiLvlStrCache>
                <c:ptCount val="143"/>
                <c:lvl>
                  <c:pt idx="0">
                    <c:v>ClassicWear</c:v>
                  </c:pt>
                  <c:pt idx="1">
                    <c:v>CottonClub</c:v>
                  </c:pt>
                  <c:pt idx="2">
                    <c:v>DailyStyle</c:v>
                  </c:pt>
                  <c:pt idx="3">
                    <c:v>DenimZone</c:v>
                  </c:pt>
                  <c:pt idx="4">
                    <c:v>Elegance</c:v>
                  </c:pt>
                  <c:pt idx="5">
                    <c:v>EliteWear</c:v>
                  </c:pt>
                  <c:pt idx="6">
                    <c:v>FashionHub</c:v>
                  </c:pt>
                  <c:pt idx="7">
                    <c:v>FashionPoint</c:v>
                  </c:pt>
                  <c:pt idx="8">
                    <c:v>ModernFit</c:v>
                  </c:pt>
                  <c:pt idx="9">
                    <c:v>RoyalThreads</c:v>
                  </c:pt>
                  <c:pt idx="10">
                    <c:v>SmartThreads</c:v>
                  </c:pt>
                  <c:pt idx="11">
                    <c:v>StreetStyle</c:v>
                  </c:pt>
                  <c:pt idx="12">
                    <c:v>StyleCraft</c:v>
                  </c:pt>
                  <c:pt idx="13">
                    <c:v>StyleNest</c:v>
                  </c:pt>
                  <c:pt idx="14">
                    <c:v>TrendWear</c:v>
                  </c:pt>
                  <c:pt idx="15">
                    <c:v>TrendyLook</c:v>
                  </c:pt>
                  <c:pt idx="16">
                    <c:v>UrbanEdge</c:v>
                  </c:pt>
                  <c:pt idx="17">
                    <c:v>UrbanStyle</c:v>
                  </c:pt>
                  <c:pt idx="18">
                    <c:v>UrbanVibe</c:v>
                  </c:pt>
                  <c:pt idx="19">
                    <c:v>VogueWear</c:v>
                  </c:pt>
                  <c:pt idx="20">
                    <c:v>DailyStyle</c:v>
                  </c:pt>
                  <c:pt idx="21">
                    <c:v>DenimZone</c:v>
                  </c:pt>
                  <c:pt idx="22">
                    <c:v>EliteWear</c:v>
                  </c:pt>
                  <c:pt idx="23">
                    <c:v>FashionPoint</c:v>
                  </c:pt>
                  <c:pt idx="24">
                    <c:v>StreetStyle</c:v>
                  </c:pt>
                  <c:pt idx="25">
                    <c:v>StyleNest</c:v>
                  </c:pt>
                  <c:pt idx="26">
                    <c:v>TrendWear</c:v>
                  </c:pt>
                  <c:pt idx="27">
                    <c:v>UrbanEdge</c:v>
                  </c:pt>
                  <c:pt idx="28">
                    <c:v>UrbanStyle</c:v>
                  </c:pt>
                  <c:pt idx="29">
                    <c:v>UrbanVibe</c:v>
                  </c:pt>
                  <c:pt idx="30">
                    <c:v>ClassicWear</c:v>
                  </c:pt>
                  <c:pt idx="31">
                    <c:v>CottonClub</c:v>
                  </c:pt>
                  <c:pt idx="32">
                    <c:v>DailyStyle</c:v>
                  </c:pt>
                  <c:pt idx="33">
                    <c:v>Elegance</c:v>
                  </c:pt>
                  <c:pt idx="34">
                    <c:v>FashionHub</c:v>
                  </c:pt>
                  <c:pt idx="35">
                    <c:v>FashionPoint</c:v>
                  </c:pt>
                  <c:pt idx="36">
                    <c:v>ModernFit</c:v>
                  </c:pt>
                  <c:pt idx="37">
                    <c:v>RoyalThreads</c:v>
                  </c:pt>
                  <c:pt idx="38">
                    <c:v>SmartThreads</c:v>
                  </c:pt>
                  <c:pt idx="39">
                    <c:v>StyleNest</c:v>
                  </c:pt>
                  <c:pt idx="40">
                    <c:v>TrendyLook</c:v>
                  </c:pt>
                  <c:pt idx="41">
                    <c:v>UrbanStyle</c:v>
                  </c:pt>
                  <c:pt idx="42">
                    <c:v>UrbanVibe</c:v>
                  </c:pt>
                  <c:pt idx="43">
                    <c:v>ClassicWear</c:v>
                  </c:pt>
                  <c:pt idx="44">
                    <c:v>CottonClub</c:v>
                  </c:pt>
                  <c:pt idx="45">
                    <c:v>DailyStyle</c:v>
                  </c:pt>
                  <c:pt idx="46">
                    <c:v>Elegance</c:v>
                  </c:pt>
                  <c:pt idx="47">
                    <c:v>FashionHub</c:v>
                  </c:pt>
                  <c:pt idx="48">
                    <c:v>FashionPoint</c:v>
                  </c:pt>
                  <c:pt idx="49">
                    <c:v>ModernFit</c:v>
                  </c:pt>
                  <c:pt idx="50">
                    <c:v>RoyalThreads</c:v>
                  </c:pt>
                  <c:pt idx="51">
                    <c:v>SmartThreads</c:v>
                  </c:pt>
                  <c:pt idx="52">
                    <c:v>StreetStyle</c:v>
                  </c:pt>
                  <c:pt idx="53">
                    <c:v>StyleCraft</c:v>
                  </c:pt>
                  <c:pt idx="54">
                    <c:v>StyleNest</c:v>
                  </c:pt>
                  <c:pt idx="55">
                    <c:v>TrendWear</c:v>
                  </c:pt>
                  <c:pt idx="56">
                    <c:v>UrbanEdge</c:v>
                  </c:pt>
                  <c:pt idx="57">
                    <c:v>UrbanStyle</c:v>
                  </c:pt>
                  <c:pt idx="58">
                    <c:v>VogueWear</c:v>
                  </c:pt>
                  <c:pt idx="59">
                    <c:v>DailyStyle</c:v>
                  </c:pt>
                  <c:pt idx="60">
                    <c:v>DenimZone</c:v>
                  </c:pt>
                  <c:pt idx="61">
                    <c:v>Elegance</c:v>
                  </c:pt>
                  <c:pt idx="62">
                    <c:v>EliteWear</c:v>
                  </c:pt>
                  <c:pt idx="63">
                    <c:v>FashionHub</c:v>
                  </c:pt>
                  <c:pt idx="64">
                    <c:v>ModernFit</c:v>
                  </c:pt>
                  <c:pt idx="65">
                    <c:v>RoyalThreads</c:v>
                  </c:pt>
                  <c:pt idx="66">
                    <c:v>SmartThreads</c:v>
                  </c:pt>
                  <c:pt idx="67">
                    <c:v>StreetStyle</c:v>
                  </c:pt>
                  <c:pt idx="68">
                    <c:v>StyleCraft</c:v>
                  </c:pt>
                  <c:pt idx="69">
                    <c:v>StyleNest</c:v>
                  </c:pt>
                  <c:pt idx="70">
                    <c:v>TrendWear</c:v>
                  </c:pt>
                  <c:pt idx="71">
                    <c:v>TrendyLook</c:v>
                  </c:pt>
                  <c:pt idx="72">
                    <c:v>UrbanEdge</c:v>
                  </c:pt>
                  <c:pt idx="73">
                    <c:v>UrbanVibe</c:v>
                  </c:pt>
                  <c:pt idx="74">
                    <c:v>VogueWear</c:v>
                  </c:pt>
                  <c:pt idx="75">
                    <c:v>CottonClub</c:v>
                  </c:pt>
                  <c:pt idx="76">
                    <c:v>DailyStyle</c:v>
                  </c:pt>
                  <c:pt idx="77">
                    <c:v>Elegance</c:v>
                  </c:pt>
                  <c:pt idx="78">
                    <c:v>EliteWear</c:v>
                  </c:pt>
                  <c:pt idx="79">
                    <c:v>FashionHub</c:v>
                  </c:pt>
                  <c:pt idx="80">
                    <c:v>FashionPoint</c:v>
                  </c:pt>
                  <c:pt idx="81">
                    <c:v>ModernFit</c:v>
                  </c:pt>
                  <c:pt idx="82">
                    <c:v>RoyalThreads</c:v>
                  </c:pt>
                  <c:pt idx="83">
                    <c:v>SmartThreads</c:v>
                  </c:pt>
                  <c:pt idx="84">
                    <c:v>StreetStyle</c:v>
                  </c:pt>
                  <c:pt idx="85">
                    <c:v>StyleCraft</c:v>
                  </c:pt>
                  <c:pt idx="86">
                    <c:v>TrendWear</c:v>
                  </c:pt>
                  <c:pt idx="87">
                    <c:v>TrendyLook</c:v>
                  </c:pt>
                  <c:pt idx="88">
                    <c:v>UrbanEdge</c:v>
                  </c:pt>
                  <c:pt idx="89">
                    <c:v>UrbanVibe</c:v>
                  </c:pt>
                  <c:pt idx="90">
                    <c:v>VogueWear</c:v>
                  </c:pt>
                  <c:pt idx="91">
                    <c:v>CottonClub</c:v>
                  </c:pt>
                  <c:pt idx="92">
                    <c:v>DailyStyle</c:v>
                  </c:pt>
                  <c:pt idx="93">
                    <c:v>DenimZone</c:v>
                  </c:pt>
                  <c:pt idx="94">
                    <c:v>Elegance</c:v>
                  </c:pt>
                  <c:pt idx="95">
                    <c:v>EliteWear</c:v>
                  </c:pt>
                  <c:pt idx="96">
                    <c:v>FashionHub</c:v>
                  </c:pt>
                  <c:pt idx="97">
                    <c:v>FashionPoint</c:v>
                  </c:pt>
                  <c:pt idx="98">
                    <c:v>ModernFit</c:v>
                  </c:pt>
                  <c:pt idx="99">
                    <c:v>StreetStyle</c:v>
                  </c:pt>
                  <c:pt idx="100">
                    <c:v>StyleCraft</c:v>
                  </c:pt>
                  <c:pt idx="101">
                    <c:v>TrendWear</c:v>
                  </c:pt>
                  <c:pt idx="102">
                    <c:v>TrendyLook</c:v>
                  </c:pt>
                  <c:pt idx="103">
                    <c:v>UrbanEdge</c:v>
                  </c:pt>
                  <c:pt idx="104">
                    <c:v>UrbanStyle</c:v>
                  </c:pt>
                  <c:pt idx="105">
                    <c:v>UrbanVibe</c:v>
                  </c:pt>
                  <c:pt idx="106">
                    <c:v>VogueWear</c:v>
                  </c:pt>
                  <c:pt idx="107">
                    <c:v>ClassicWear</c:v>
                  </c:pt>
                  <c:pt idx="108">
                    <c:v>CottonClub</c:v>
                  </c:pt>
                  <c:pt idx="109">
                    <c:v>DenimZone</c:v>
                  </c:pt>
                  <c:pt idx="110">
                    <c:v>Elegance</c:v>
                  </c:pt>
                  <c:pt idx="111">
                    <c:v>EliteWear</c:v>
                  </c:pt>
                  <c:pt idx="112">
                    <c:v>FashionHub</c:v>
                  </c:pt>
                  <c:pt idx="113">
                    <c:v>ModernFit</c:v>
                  </c:pt>
                  <c:pt idx="114">
                    <c:v>RoyalThreads</c:v>
                  </c:pt>
                  <c:pt idx="115">
                    <c:v>SmartThreads</c:v>
                  </c:pt>
                  <c:pt idx="116">
                    <c:v>StreetStyle</c:v>
                  </c:pt>
                  <c:pt idx="117">
                    <c:v>StyleCraft</c:v>
                  </c:pt>
                  <c:pt idx="118">
                    <c:v>StyleNest</c:v>
                  </c:pt>
                  <c:pt idx="119">
                    <c:v>TrendWear</c:v>
                  </c:pt>
                  <c:pt idx="120">
                    <c:v>TrendyLook</c:v>
                  </c:pt>
                  <c:pt idx="121">
                    <c:v>UrbanEdge</c:v>
                  </c:pt>
                  <c:pt idx="122">
                    <c:v>VogueWear</c:v>
                  </c:pt>
                  <c:pt idx="123">
                    <c:v>ClassicWear</c:v>
                  </c:pt>
                  <c:pt idx="124">
                    <c:v>CottonClub</c:v>
                  </c:pt>
                  <c:pt idx="125">
                    <c:v>DailyStyle</c:v>
                  </c:pt>
                  <c:pt idx="126">
                    <c:v>DenimZone</c:v>
                  </c:pt>
                  <c:pt idx="127">
                    <c:v>Elegance</c:v>
                  </c:pt>
                  <c:pt idx="128">
                    <c:v>EliteWear</c:v>
                  </c:pt>
                  <c:pt idx="129">
                    <c:v>FashionHub</c:v>
                  </c:pt>
                  <c:pt idx="130">
                    <c:v>FashionPoint</c:v>
                  </c:pt>
                  <c:pt idx="131">
                    <c:v>ModernFit</c:v>
                  </c:pt>
                  <c:pt idx="132">
                    <c:v>RoyalThreads</c:v>
                  </c:pt>
                  <c:pt idx="133">
                    <c:v>SmartThreads</c:v>
                  </c:pt>
                  <c:pt idx="134">
                    <c:v>StreetStyle</c:v>
                  </c:pt>
                  <c:pt idx="135">
                    <c:v>StyleCraft</c:v>
                  </c:pt>
                  <c:pt idx="136">
                    <c:v>StyleNest</c:v>
                  </c:pt>
                  <c:pt idx="137">
                    <c:v>TrendWear</c:v>
                  </c:pt>
                  <c:pt idx="138">
                    <c:v>TrendyLook</c:v>
                  </c:pt>
                  <c:pt idx="139">
                    <c:v>UrbanEdge</c:v>
                  </c:pt>
                  <c:pt idx="140">
                    <c:v>UrbanStyle</c:v>
                  </c:pt>
                  <c:pt idx="141">
                    <c:v>UrbanVibe</c:v>
                  </c:pt>
                  <c:pt idx="142">
                    <c:v>VogueWear</c:v>
                  </c:pt>
                </c:lvl>
                <c:lvl>
                  <c:pt idx="0">
                    <c:v>Cap</c:v>
                  </c:pt>
                  <c:pt idx="20">
                    <c:v>Jeans</c:v>
                  </c:pt>
                  <c:pt idx="30">
                    <c:v>Kurta</c:v>
                  </c:pt>
                  <c:pt idx="43">
                    <c:v>Lower</c:v>
                  </c:pt>
                  <c:pt idx="59">
                    <c:v>Saree</c:v>
                  </c:pt>
                  <c:pt idx="75">
                    <c:v>Shirt</c:v>
                  </c:pt>
                  <c:pt idx="91">
                    <c:v>Suit</c:v>
                  </c:pt>
                  <c:pt idx="107">
                    <c:v>Top</c:v>
                  </c:pt>
                  <c:pt idx="123">
                    <c:v>T-Shirt</c:v>
                  </c:pt>
                </c:lvl>
              </c:multiLvlStrCache>
            </c:multiLvlStrRef>
          </c:cat>
          <c:val>
            <c:numRef>
              <c:f>'Sales vs Orders'!$D$4:$D$156</c:f>
              <c:numCache>
                <c:formatCode>General</c:formatCode>
                <c:ptCount val="14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8</c:v>
                </c:pt>
                <c:pt idx="32">
                  <c:v>1</c:v>
                </c:pt>
                <c:pt idx="33">
                  <c:v>1</c:v>
                </c:pt>
                <c:pt idx="34">
                  <c:v>5</c:v>
                </c:pt>
                <c:pt idx="35">
                  <c:v>2</c:v>
                </c:pt>
                <c:pt idx="36">
                  <c:v>3</c:v>
                </c:pt>
                <c:pt idx="37">
                  <c:v>9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2</c:v>
                </c:pt>
                <c:pt idx="46">
                  <c:v>3</c:v>
                </c:pt>
                <c:pt idx="47">
                  <c:v>5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3</c:v>
                </c:pt>
                <c:pt idx="67">
                  <c:v>2</c:v>
                </c:pt>
                <c:pt idx="68">
                  <c:v>3</c:v>
                </c:pt>
                <c:pt idx="69">
                  <c:v>7</c:v>
                </c:pt>
                <c:pt idx="70">
                  <c:v>1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3</c:v>
                </c:pt>
                <c:pt idx="80">
                  <c:v>4</c:v>
                </c:pt>
                <c:pt idx="81">
                  <c:v>6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1</c:v>
                </c:pt>
                <c:pt idx="93">
                  <c:v>2</c:v>
                </c:pt>
                <c:pt idx="94">
                  <c:v>3</c:v>
                </c:pt>
                <c:pt idx="95">
                  <c:v>6</c:v>
                </c:pt>
                <c:pt idx="96">
                  <c:v>4</c:v>
                </c:pt>
                <c:pt idx="97">
                  <c:v>3</c:v>
                </c:pt>
                <c:pt idx="98">
                  <c:v>4</c:v>
                </c:pt>
                <c:pt idx="99">
                  <c:v>1</c:v>
                </c:pt>
                <c:pt idx="100">
                  <c:v>4</c:v>
                </c:pt>
                <c:pt idx="101">
                  <c:v>4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4</c:v>
                </c:pt>
                <c:pt idx="106">
                  <c:v>1</c:v>
                </c:pt>
                <c:pt idx="107">
                  <c:v>5</c:v>
                </c:pt>
                <c:pt idx="108">
                  <c:v>2</c:v>
                </c:pt>
                <c:pt idx="109">
                  <c:v>1</c:v>
                </c:pt>
                <c:pt idx="110">
                  <c:v>6</c:v>
                </c:pt>
                <c:pt idx="111">
                  <c:v>2</c:v>
                </c:pt>
                <c:pt idx="112">
                  <c:v>3</c:v>
                </c:pt>
                <c:pt idx="113">
                  <c:v>5</c:v>
                </c:pt>
                <c:pt idx="114">
                  <c:v>3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9</c:v>
                </c:pt>
                <c:pt idx="123">
                  <c:v>3</c:v>
                </c:pt>
                <c:pt idx="124">
                  <c:v>1</c:v>
                </c:pt>
                <c:pt idx="125">
                  <c:v>4</c:v>
                </c:pt>
                <c:pt idx="126">
                  <c:v>5</c:v>
                </c:pt>
                <c:pt idx="127">
                  <c:v>1</c:v>
                </c:pt>
                <c:pt idx="128">
                  <c:v>3</c:v>
                </c:pt>
                <c:pt idx="129">
                  <c:v>1</c:v>
                </c:pt>
                <c:pt idx="130">
                  <c:v>5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4</c:v>
                </c:pt>
                <c:pt idx="135">
                  <c:v>1</c:v>
                </c:pt>
                <c:pt idx="136">
                  <c:v>3</c:v>
                </c:pt>
                <c:pt idx="137">
                  <c:v>3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4</c:v>
                </c:pt>
                <c:pt idx="14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7-4F6A-B97E-4A4EF8638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46632"/>
        <c:axId val="97943560"/>
      </c:lineChart>
      <c:catAx>
        <c:axId val="26752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4056"/>
        <c:crosses val="autoZero"/>
        <c:auto val="1"/>
        <c:lblAlgn val="ctr"/>
        <c:lblOffset val="100"/>
        <c:noMultiLvlLbl val="0"/>
      </c:catAx>
      <c:valAx>
        <c:axId val="26754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2008"/>
        <c:crosses val="autoZero"/>
        <c:crossBetween val="between"/>
      </c:valAx>
      <c:valAx>
        <c:axId val="97943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6632"/>
        <c:crosses val="max"/>
        <c:crossBetween val="between"/>
      </c:valAx>
      <c:catAx>
        <c:axId val="97946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943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[Book.xlsx]Sales vs Orders!PivotTable3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vs Orders'!$C$3</c:f>
              <c:strCache>
                <c:ptCount val="1"/>
                <c:pt idx="0">
                  <c:v>Sum of TOTAL 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vs Orders'!$A$4:$B$156</c:f>
              <c:multiLvlStrCache>
                <c:ptCount val="143"/>
                <c:lvl>
                  <c:pt idx="0">
                    <c:v>ClassicWear</c:v>
                  </c:pt>
                  <c:pt idx="1">
                    <c:v>CottonClub</c:v>
                  </c:pt>
                  <c:pt idx="2">
                    <c:v>DailyStyle</c:v>
                  </c:pt>
                  <c:pt idx="3">
                    <c:v>DenimZone</c:v>
                  </c:pt>
                  <c:pt idx="4">
                    <c:v>Elegance</c:v>
                  </c:pt>
                  <c:pt idx="5">
                    <c:v>EliteWear</c:v>
                  </c:pt>
                  <c:pt idx="6">
                    <c:v>FashionHub</c:v>
                  </c:pt>
                  <c:pt idx="7">
                    <c:v>FashionPoint</c:v>
                  </c:pt>
                  <c:pt idx="8">
                    <c:v>ModernFit</c:v>
                  </c:pt>
                  <c:pt idx="9">
                    <c:v>RoyalThreads</c:v>
                  </c:pt>
                  <c:pt idx="10">
                    <c:v>SmartThreads</c:v>
                  </c:pt>
                  <c:pt idx="11">
                    <c:v>StreetStyle</c:v>
                  </c:pt>
                  <c:pt idx="12">
                    <c:v>StyleCraft</c:v>
                  </c:pt>
                  <c:pt idx="13">
                    <c:v>StyleNest</c:v>
                  </c:pt>
                  <c:pt idx="14">
                    <c:v>TrendWear</c:v>
                  </c:pt>
                  <c:pt idx="15">
                    <c:v>TrendyLook</c:v>
                  </c:pt>
                  <c:pt idx="16">
                    <c:v>UrbanEdge</c:v>
                  </c:pt>
                  <c:pt idx="17">
                    <c:v>UrbanStyle</c:v>
                  </c:pt>
                  <c:pt idx="18">
                    <c:v>UrbanVibe</c:v>
                  </c:pt>
                  <c:pt idx="19">
                    <c:v>VogueWear</c:v>
                  </c:pt>
                  <c:pt idx="20">
                    <c:v>DailyStyle</c:v>
                  </c:pt>
                  <c:pt idx="21">
                    <c:v>DenimZone</c:v>
                  </c:pt>
                  <c:pt idx="22">
                    <c:v>EliteWear</c:v>
                  </c:pt>
                  <c:pt idx="23">
                    <c:v>FashionPoint</c:v>
                  </c:pt>
                  <c:pt idx="24">
                    <c:v>StreetStyle</c:v>
                  </c:pt>
                  <c:pt idx="25">
                    <c:v>StyleNest</c:v>
                  </c:pt>
                  <c:pt idx="26">
                    <c:v>TrendWear</c:v>
                  </c:pt>
                  <c:pt idx="27">
                    <c:v>UrbanEdge</c:v>
                  </c:pt>
                  <c:pt idx="28">
                    <c:v>UrbanStyle</c:v>
                  </c:pt>
                  <c:pt idx="29">
                    <c:v>UrbanVibe</c:v>
                  </c:pt>
                  <c:pt idx="30">
                    <c:v>ClassicWear</c:v>
                  </c:pt>
                  <c:pt idx="31">
                    <c:v>CottonClub</c:v>
                  </c:pt>
                  <c:pt idx="32">
                    <c:v>DailyStyle</c:v>
                  </c:pt>
                  <c:pt idx="33">
                    <c:v>Elegance</c:v>
                  </c:pt>
                  <c:pt idx="34">
                    <c:v>FashionHub</c:v>
                  </c:pt>
                  <c:pt idx="35">
                    <c:v>FashionPoint</c:v>
                  </c:pt>
                  <c:pt idx="36">
                    <c:v>ModernFit</c:v>
                  </c:pt>
                  <c:pt idx="37">
                    <c:v>RoyalThreads</c:v>
                  </c:pt>
                  <c:pt idx="38">
                    <c:v>SmartThreads</c:v>
                  </c:pt>
                  <c:pt idx="39">
                    <c:v>StyleNest</c:v>
                  </c:pt>
                  <c:pt idx="40">
                    <c:v>TrendyLook</c:v>
                  </c:pt>
                  <c:pt idx="41">
                    <c:v>UrbanStyle</c:v>
                  </c:pt>
                  <c:pt idx="42">
                    <c:v>UrbanVibe</c:v>
                  </c:pt>
                  <c:pt idx="43">
                    <c:v>ClassicWear</c:v>
                  </c:pt>
                  <c:pt idx="44">
                    <c:v>CottonClub</c:v>
                  </c:pt>
                  <c:pt idx="45">
                    <c:v>DailyStyle</c:v>
                  </c:pt>
                  <c:pt idx="46">
                    <c:v>Elegance</c:v>
                  </c:pt>
                  <c:pt idx="47">
                    <c:v>FashionHub</c:v>
                  </c:pt>
                  <c:pt idx="48">
                    <c:v>FashionPoint</c:v>
                  </c:pt>
                  <c:pt idx="49">
                    <c:v>ModernFit</c:v>
                  </c:pt>
                  <c:pt idx="50">
                    <c:v>RoyalThreads</c:v>
                  </c:pt>
                  <c:pt idx="51">
                    <c:v>SmartThreads</c:v>
                  </c:pt>
                  <c:pt idx="52">
                    <c:v>StreetStyle</c:v>
                  </c:pt>
                  <c:pt idx="53">
                    <c:v>StyleCraft</c:v>
                  </c:pt>
                  <c:pt idx="54">
                    <c:v>StyleNest</c:v>
                  </c:pt>
                  <c:pt idx="55">
                    <c:v>TrendWear</c:v>
                  </c:pt>
                  <c:pt idx="56">
                    <c:v>UrbanEdge</c:v>
                  </c:pt>
                  <c:pt idx="57">
                    <c:v>UrbanStyle</c:v>
                  </c:pt>
                  <c:pt idx="58">
                    <c:v>VogueWear</c:v>
                  </c:pt>
                  <c:pt idx="59">
                    <c:v>DailyStyle</c:v>
                  </c:pt>
                  <c:pt idx="60">
                    <c:v>DenimZone</c:v>
                  </c:pt>
                  <c:pt idx="61">
                    <c:v>Elegance</c:v>
                  </c:pt>
                  <c:pt idx="62">
                    <c:v>EliteWear</c:v>
                  </c:pt>
                  <c:pt idx="63">
                    <c:v>FashionHub</c:v>
                  </c:pt>
                  <c:pt idx="64">
                    <c:v>ModernFit</c:v>
                  </c:pt>
                  <c:pt idx="65">
                    <c:v>RoyalThreads</c:v>
                  </c:pt>
                  <c:pt idx="66">
                    <c:v>SmartThreads</c:v>
                  </c:pt>
                  <c:pt idx="67">
                    <c:v>StreetStyle</c:v>
                  </c:pt>
                  <c:pt idx="68">
                    <c:v>StyleCraft</c:v>
                  </c:pt>
                  <c:pt idx="69">
                    <c:v>StyleNest</c:v>
                  </c:pt>
                  <c:pt idx="70">
                    <c:v>TrendWear</c:v>
                  </c:pt>
                  <c:pt idx="71">
                    <c:v>TrendyLook</c:v>
                  </c:pt>
                  <c:pt idx="72">
                    <c:v>UrbanEdge</c:v>
                  </c:pt>
                  <c:pt idx="73">
                    <c:v>UrbanVibe</c:v>
                  </c:pt>
                  <c:pt idx="74">
                    <c:v>VogueWear</c:v>
                  </c:pt>
                  <c:pt idx="75">
                    <c:v>CottonClub</c:v>
                  </c:pt>
                  <c:pt idx="76">
                    <c:v>DailyStyle</c:v>
                  </c:pt>
                  <c:pt idx="77">
                    <c:v>Elegance</c:v>
                  </c:pt>
                  <c:pt idx="78">
                    <c:v>EliteWear</c:v>
                  </c:pt>
                  <c:pt idx="79">
                    <c:v>FashionHub</c:v>
                  </c:pt>
                  <c:pt idx="80">
                    <c:v>FashionPoint</c:v>
                  </c:pt>
                  <c:pt idx="81">
                    <c:v>ModernFit</c:v>
                  </c:pt>
                  <c:pt idx="82">
                    <c:v>RoyalThreads</c:v>
                  </c:pt>
                  <c:pt idx="83">
                    <c:v>SmartThreads</c:v>
                  </c:pt>
                  <c:pt idx="84">
                    <c:v>StreetStyle</c:v>
                  </c:pt>
                  <c:pt idx="85">
                    <c:v>StyleCraft</c:v>
                  </c:pt>
                  <c:pt idx="86">
                    <c:v>TrendWear</c:v>
                  </c:pt>
                  <c:pt idx="87">
                    <c:v>TrendyLook</c:v>
                  </c:pt>
                  <c:pt idx="88">
                    <c:v>UrbanEdge</c:v>
                  </c:pt>
                  <c:pt idx="89">
                    <c:v>UrbanVibe</c:v>
                  </c:pt>
                  <c:pt idx="90">
                    <c:v>VogueWear</c:v>
                  </c:pt>
                  <c:pt idx="91">
                    <c:v>CottonClub</c:v>
                  </c:pt>
                  <c:pt idx="92">
                    <c:v>DailyStyle</c:v>
                  </c:pt>
                  <c:pt idx="93">
                    <c:v>DenimZone</c:v>
                  </c:pt>
                  <c:pt idx="94">
                    <c:v>Elegance</c:v>
                  </c:pt>
                  <c:pt idx="95">
                    <c:v>EliteWear</c:v>
                  </c:pt>
                  <c:pt idx="96">
                    <c:v>FashionHub</c:v>
                  </c:pt>
                  <c:pt idx="97">
                    <c:v>FashionPoint</c:v>
                  </c:pt>
                  <c:pt idx="98">
                    <c:v>ModernFit</c:v>
                  </c:pt>
                  <c:pt idx="99">
                    <c:v>StreetStyle</c:v>
                  </c:pt>
                  <c:pt idx="100">
                    <c:v>StyleCraft</c:v>
                  </c:pt>
                  <c:pt idx="101">
                    <c:v>TrendWear</c:v>
                  </c:pt>
                  <c:pt idx="102">
                    <c:v>TrendyLook</c:v>
                  </c:pt>
                  <c:pt idx="103">
                    <c:v>UrbanEdge</c:v>
                  </c:pt>
                  <c:pt idx="104">
                    <c:v>UrbanStyle</c:v>
                  </c:pt>
                  <c:pt idx="105">
                    <c:v>UrbanVibe</c:v>
                  </c:pt>
                  <c:pt idx="106">
                    <c:v>VogueWear</c:v>
                  </c:pt>
                  <c:pt idx="107">
                    <c:v>ClassicWear</c:v>
                  </c:pt>
                  <c:pt idx="108">
                    <c:v>CottonClub</c:v>
                  </c:pt>
                  <c:pt idx="109">
                    <c:v>DenimZone</c:v>
                  </c:pt>
                  <c:pt idx="110">
                    <c:v>Elegance</c:v>
                  </c:pt>
                  <c:pt idx="111">
                    <c:v>EliteWear</c:v>
                  </c:pt>
                  <c:pt idx="112">
                    <c:v>FashionHub</c:v>
                  </c:pt>
                  <c:pt idx="113">
                    <c:v>ModernFit</c:v>
                  </c:pt>
                  <c:pt idx="114">
                    <c:v>RoyalThreads</c:v>
                  </c:pt>
                  <c:pt idx="115">
                    <c:v>SmartThreads</c:v>
                  </c:pt>
                  <c:pt idx="116">
                    <c:v>StreetStyle</c:v>
                  </c:pt>
                  <c:pt idx="117">
                    <c:v>StyleCraft</c:v>
                  </c:pt>
                  <c:pt idx="118">
                    <c:v>StyleNest</c:v>
                  </c:pt>
                  <c:pt idx="119">
                    <c:v>TrendWear</c:v>
                  </c:pt>
                  <c:pt idx="120">
                    <c:v>TrendyLook</c:v>
                  </c:pt>
                  <c:pt idx="121">
                    <c:v>UrbanEdge</c:v>
                  </c:pt>
                  <c:pt idx="122">
                    <c:v>VogueWear</c:v>
                  </c:pt>
                  <c:pt idx="123">
                    <c:v>ClassicWear</c:v>
                  </c:pt>
                  <c:pt idx="124">
                    <c:v>CottonClub</c:v>
                  </c:pt>
                  <c:pt idx="125">
                    <c:v>DailyStyle</c:v>
                  </c:pt>
                  <c:pt idx="126">
                    <c:v>DenimZone</c:v>
                  </c:pt>
                  <c:pt idx="127">
                    <c:v>Elegance</c:v>
                  </c:pt>
                  <c:pt idx="128">
                    <c:v>EliteWear</c:v>
                  </c:pt>
                  <c:pt idx="129">
                    <c:v>FashionHub</c:v>
                  </c:pt>
                  <c:pt idx="130">
                    <c:v>FashionPoint</c:v>
                  </c:pt>
                  <c:pt idx="131">
                    <c:v>ModernFit</c:v>
                  </c:pt>
                  <c:pt idx="132">
                    <c:v>RoyalThreads</c:v>
                  </c:pt>
                  <c:pt idx="133">
                    <c:v>SmartThreads</c:v>
                  </c:pt>
                  <c:pt idx="134">
                    <c:v>StreetStyle</c:v>
                  </c:pt>
                  <c:pt idx="135">
                    <c:v>StyleCraft</c:v>
                  </c:pt>
                  <c:pt idx="136">
                    <c:v>StyleNest</c:v>
                  </c:pt>
                  <c:pt idx="137">
                    <c:v>TrendWear</c:v>
                  </c:pt>
                  <c:pt idx="138">
                    <c:v>TrendyLook</c:v>
                  </c:pt>
                  <c:pt idx="139">
                    <c:v>UrbanEdge</c:v>
                  </c:pt>
                  <c:pt idx="140">
                    <c:v>UrbanStyle</c:v>
                  </c:pt>
                  <c:pt idx="141">
                    <c:v>UrbanVibe</c:v>
                  </c:pt>
                  <c:pt idx="142">
                    <c:v>VogueWear</c:v>
                  </c:pt>
                </c:lvl>
                <c:lvl>
                  <c:pt idx="0">
                    <c:v>Cap</c:v>
                  </c:pt>
                  <c:pt idx="20">
                    <c:v>Jeans</c:v>
                  </c:pt>
                  <c:pt idx="30">
                    <c:v>Kurta</c:v>
                  </c:pt>
                  <c:pt idx="43">
                    <c:v>Lower</c:v>
                  </c:pt>
                  <c:pt idx="59">
                    <c:v>Saree</c:v>
                  </c:pt>
                  <c:pt idx="75">
                    <c:v>Shirt</c:v>
                  </c:pt>
                  <c:pt idx="91">
                    <c:v>Suit</c:v>
                  </c:pt>
                  <c:pt idx="107">
                    <c:v>Top</c:v>
                  </c:pt>
                  <c:pt idx="123">
                    <c:v>T-Shirt</c:v>
                  </c:pt>
                </c:lvl>
              </c:multiLvlStrCache>
            </c:multiLvlStrRef>
          </c:cat>
          <c:val>
            <c:numRef>
              <c:f>'Sales vs Orders'!$C$4:$C$156</c:f>
              <c:numCache>
                <c:formatCode>General</c:formatCode>
                <c:ptCount val="143"/>
                <c:pt idx="0">
                  <c:v>4598</c:v>
                </c:pt>
                <c:pt idx="1">
                  <c:v>6998</c:v>
                </c:pt>
                <c:pt idx="2">
                  <c:v>2798</c:v>
                </c:pt>
                <c:pt idx="3">
                  <c:v>1199</c:v>
                </c:pt>
                <c:pt idx="4">
                  <c:v>7497</c:v>
                </c:pt>
                <c:pt idx="5">
                  <c:v>799</c:v>
                </c:pt>
                <c:pt idx="6">
                  <c:v>10497</c:v>
                </c:pt>
                <c:pt idx="7">
                  <c:v>1199</c:v>
                </c:pt>
                <c:pt idx="8">
                  <c:v>5697</c:v>
                </c:pt>
                <c:pt idx="9">
                  <c:v>8997</c:v>
                </c:pt>
                <c:pt idx="10">
                  <c:v>4598</c:v>
                </c:pt>
                <c:pt idx="11">
                  <c:v>998</c:v>
                </c:pt>
                <c:pt idx="12">
                  <c:v>1999</c:v>
                </c:pt>
                <c:pt idx="13">
                  <c:v>1398</c:v>
                </c:pt>
                <c:pt idx="14">
                  <c:v>1798</c:v>
                </c:pt>
                <c:pt idx="15">
                  <c:v>2599</c:v>
                </c:pt>
                <c:pt idx="16">
                  <c:v>999</c:v>
                </c:pt>
                <c:pt idx="17">
                  <c:v>2598</c:v>
                </c:pt>
                <c:pt idx="18">
                  <c:v>1499</c:v>
                </c:pt>
                <c:pt idx="19">
                  <c:v>7497</c:v>
                </c:pt>
                <c:pt idx="20">
                  <c:v>2298</c:v>
                </c:pt>
                <c:pt idx="21">
                  <c:v>7195</c:v>
                </c:pt>
                <c:pt idx="22">
                  <c:v>4995</c:v>
                </c:pt>
                <c:pt idx="23">
                  <c:v>4496</c:v>
                </c:pt>
                <c:pt idx="24">
                  <c:v>4596</c:v>
                </c:pt>
                <c:pt idx="25">
                  <c:v>4797</c:v>
                </c:pt>
                <c:pt idx="26">
                  <c:v>3896</c:v>
                </c:pt>
                <c:pt idx="27">
                  <c:v>5495</c:v>
                </c:pt>
                <c:pt idx="28">
                  <c:v>3098</c:v>
                </c:pt>
                <c:pt idx="29">
                  <c:v>2597</c:v>
                </c:pt>
                <c:pt idx="30">
                  <c:v>5498</c:v>
                </c:pt>
                <c:pt idx="31">
                  <c:v>19392</c:v>
                </c:pt>
                <c:pt idx="32">
                  <c:v>1599</c:v>
                </c:pt>
                <c:pt idx="33">
                  <c:v>3499</c:v>
                </c:pt>
                <c:pt idx="34">
                  <c:v>12695</c:v>
                </c:pt>
                <c:pt idx="35">
                  <c:v>1398</c:v>
                </c:pt>
                <c:pt idx="36">
                  <c:v>8397</c:v>
                </c:pt>
                <c:pt idx="37">
                  <c:v>25091</c:v>
                </c:pt>
                <c:pt idx="38">
                  <c:v>2199</c:v>
                </c:pt>
                <c:pt idx="39">
                  <c:v>1299</c:v>
                </c:pt>
                <c:pt idx="40">
                  <c:v>1799</c:v>
                </c:pt>
                <c:pt idx="41">
                  <c:v>2796</c:v>
                </c:pt>
                <c:pt idx="42">
                  <c:v>3996</c:v>
                </c:pt>
                <c:pt idx="43">
                  <c:v>5697</c:v>
                </c:pt>
                <c:pt idx="44">
                  <c:v>12396</c:v>
                </c:pt>
                <c:pt idx="45">
                  <c:v>2598</c:v>
                </c:pt>
                <c:pt idx="46">
                  <c:v>8397</c:v>
                </c:pt>
                <c:pt idx="47">
                  <c:v>8395</c:v>
                </c:pt>
                <c:pt idx="48">
                  <c:v>1598</c:v>
                </c:pt>
                <c:pt idx="49">
                  <c:v>8397</c:v>
                </c:pt>
                <c:pt idx="50">
                  <c:v>2599</c:v>
                </c:pt>
                <c:pt idx="51">
                  <c:v>3998</c:v>
                </c:pt>
                <c:pt idx="52">
                  <c:v>2998</c:v>
                </c:pt>
                <c:pt idx="53">
                  <c:v>3499</c:v>
                </c:pt>
                <c:pt idx="54">
                  <c:v>1499</c:v>
                </c:pt>
                <c:pt idx="55">
                  <c:v>1199</c:v>
                </c:pt>
                <c:pt idx="56">
                  <c:v>9196</c:v>
                </c:pt>
                <c:pt idx="57">
                  <c:v>4397</c:v>
                </c:pt>
                <c:pt idx="58">
                  <c:v>3299</c:v>
                </c:pt>
                <c:pt idx="59">
                  <c:v>2598</c:v>
                </c:pt>
                <c:pt idx="60">
                  <c:v>2997</c:v>
                </c:pt>
                <c:pt idx="61">
                  <c:v>9897</c:v>
                </c:pt>
                <c:pt idx="62">
                  <c:v>899</c:v>
                </c:pt>
                <c:pt idx="63">
                  <c:v>2999</c:v>
                </c:pt>
                <c:pt idx="64">
                  <c:v>3499</c:v>
                </c:pt>
                <c:pt idx="65">
                  <c:v>4398</c:v>
                </c:pt>
                <c:pt idx="66">
                  <c:v>5997</c:v>
                </c:pt>
                <c:pt idx="67">
                  <c:v>1398</c:v>
                </c:pt>
                <c:pt idx="68">
                  <c:v>7497</c:v>
                </c:pt>
                <c:pt idx="69">
                  <c:v>8693</c:v>
                </c:pt>
                <c:pt idx="70">
                  <c:v>1599</c:v>
                </c:pt>
                <c:pt idx="71">
                  <c:v>6697</c:v>
                </c:pt>
                <c:pt idx="72">
                  <c:v>1598</c:v>
                </c:pt>
                <c:pt idx="73">
                  <c:v>999</c:v>
                </c:pt>
                <c:pt idx="74">
                  <c:v>5998</c:v>
                </c:pt>
                <c:pt idx="75">
                  <c:v>1399</c:v>
                </c:pt>
                <c:pt idx="76">
                  <c:v>1599</c:v>
                </c:pt>
                <c:pt idx="77">
                  <c:v>2599</c:v>
                </c:pt>
                <c:pt idx="78">
                  <c:v>699</c:v>
                </c:pt>
                <c:pt idx="79">
                  <c:v>7497</c:v>
                </c:pt>
                <c:pt idx="80">
                  <c:v>3196</c:v>
                </c:pt>
                <c:pt idx="81">
                  <c:v>16794</c:v>
                </c:pt>
                <c:pt idx="82">
                  <c:v>2799</c:v>
                </c:pt>
                <c:pt idx="83">
                  <c:v>1799</c:v>
                </c:pt>
                <c:pt idx="84">
                  <c:v>1399</c:v>
                </c:pt>
                <c:pt idx="85">
                  <c:v>6397</c:v>
                </c:pt>
                <c:pt idx="86">
                  <c:v>3897</c:v>
                </c:pt>
                <c:pt idx="87">
                  <c:v>6397</c:v>
                </c:pt>
                <c:pt idx="88">
                  <c:v>2697</c:v>
                </c:pt>
                <c:pt idx="89">
                  <c:v>2597</c:v>
                </c:pt>
                <c:pt idx="90">
                  <c:v>1999</c:v>
                </c:pt>
                <c:pt idx="91">
                  <c:v>8397</c:v>
                </c:pt>
                <c:pt idx="92">
                  <c:v>1099</c:v>
                </c:pt>
                <c:pt idx="93">
                  <c:v>1698</c:v>
                </c:pt>
                <c:pt idx="94">
                  <c:v>7797</c:v>
                </c:pt>
                <c:pt idx="95">
                  <c:v>4994</c:v>
                </c:pt>
                <c:pt idx="96">
                  <c:v>9996</c:v>
                </c:pt>
                <c:pt idx="97">
                  <c:v>2997</c:v>
                </c:pt>
                <c:pt idx="98">
                  <c:v>7996</c:v>
                </c:pt>
                <c:pt idx="99">
                  <c:v>699</c:v>
                </c:pt>
                <c:pt idx="100">
                  <c:v>10396</c:v>
                </c:pt>
                <c:pt idx="101">
                  <c:v>3596</c:v>
                </c:pt>
                <c:pt idx="102">
                  <c:v>1899</c:v>
                </c:pt>
                <c:pt idx="103">
                  <c:v>1598</c:v>
                </c:pt>
                <c:pt idx="104">
                  <c:v>1299</c:v>
                </c:pt>
                <c:pt idx="105">
                  <c:v>4796</c:v>
                </c:pt>
                <c:pt idx="106">
                  <c:v>2199</c:v>
                </c:pt>
                <c:pt idx="107">
                  <c:v>10395</c:v>
                </c:pt>
                <c:pt idx="108">
                  <c:v>6998</c:v>
                </c:pt>
                <c:pt idx="109">
                  <c:v>1399</c:v>
                </c:pt>
                <c:pt idx="110">
                  <c:v>16694</c:v>
                </c:pt>
                <c:pt idx="111">
                  <c:v>2398</c:v>
                </c:pt>
                <c:pt idx="112">
                  <c:v>8397</c:v>
                </c:pt>
                <c:pt idx="113">
                  <c:v>14395</c:v>
                </c:pt>
                <c:pt idx="114">
                  <c:v>6797</c:v>
                </c:pt>
                <c:pt idx="115">
                  <c:v>5396</c:v>
                </c:pt>
                <c:pt idx="116">
                  <c:v>5996</c:v>
                </c:pt>
                <c:pt idx="117">
                  <c:v>6197</c:v>
                </c:pt>
                <c:pt idx="118">
                  <c:v>1798</c:v>
                </c:pt>
                <c:pt idx="119">
                  <c:v>1998</c:v>
                </c:pt>
                <c:pt idx="120">
                  <c:v>4198</c:v>
                </c:pt>
                <c:pt idx="121">
                  <c:v>1798</c:v>
                </c:pt>
                <c:pt idx="122">
                  <c:v>20991</c:v>
                </c:pt>
                <c:pt idx="123">
                  <c:v>8397</c:v>
                </c:pt>
                <c:pt idx="124">
                  <c:v>2499</c:v>
                </c:pt>
                <c:pt idx="125">
                  <c:v>5896</c:v>
                </c:pt>
                <c:pt idx="126">
                  <c:v>4695</c:v>
                </c:pt>
                <c:pt idx="127">
                  <c:v>699</c:v>
                </c:pt>
                <c:pt idx="128">
                  <c:v>4497</c:v>
                </c:pt>
                <c:pt idx="129">
                  <c:v>3499</c:v>
                </c:pt>
                <c:pt idx="130">
                  <c:v>5095</c:v>
                </c:pt>
                <c:pt idx="131">
                  <c:v>2799</c:v>
                </c:pt>
                <c:pt idx="132">
                  <c:v>5997</c:v>
                </c:pt>
                <c:pt idx="133">
                  <c:v>4798</c:v>
                </c:pt>
                <c:pt idx="134">
                  <c:v>6396</c:v>
                </c:pt>
                <c:pt idx="135">
                  <c:v>2999</c:v>
                </c:pt>
                <c:pt idx="136">
                  <c:v>3697</c:v>
                </c:pt>
                <c:pt idx="137">
                  <c:v>2597</c:v>
                </c:pt>
                <c:pt idx="138">
                  <c:v>4398</c:v>
                </c:pt>
                <c:pt idx="139">
                  <c:v>1798</c:v>
                </c:pt>
                <c:pt idx="140">
                  <c:v>1998</c:v>
                </c:pt>
                <c:pt idx="141">
                  <c:v>4196</c:v>
                </c:pt>
                <c:pt idx="142">
                  <c:v>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0-4153-872B-F62997944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752008"/>
        <c:axId val="26754056"/>
      </c:barChart>
      <c:lineChart>
        <c:grouping val="standard"/>
        <c:varyColors val="0"/>
        <c:ser>
          <c:idx val="1"/>
          <c:order val="1"/>
          <c:tx>
            <c:strRef>
              <c:f>'Sales vs Orders'!$D$3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'Sales vs Orders'!$A$4:$B$156</c:f>
              <c:multiLvlStrCache>
                <c:ptCount val="143"/>
                <c:lvl>
                  <c:pt idx="0">
                    <c:v>ClassicWear</c:v>
                  </c:pt>
                  <c:pt idx="1">
                    <c:v>CottonClub</c:v>
                  </c:pt>
                  <c:pt idx="2">
                    <c:v>DailyStyle</c:v>
                  </c:pt>
                  <c:pt idx="3">
                    <c:v>DenimZone</c:v>
                  </c:pt>
                  <c:pt idx="4">
                    <c:v>Elegance</c:v>
                  </c:pt>
                  <c:pt idx="5">
                    <c:v>EliteWear</c:v>
                  </c:pt>
                  <c:pt idx="6">
                    <c:v>FashionHub</c:v>
                  </c:pt>
                  <c:pt idx="7">
                    <c:v>FashionPoint</c:v>
                  </c:pt>
                  <c:pt idx="8">
                    <c:v>ModernFit</c:v>
                  </c:pt>
                  <c:pt idx="9">
                    <c:v>RoyalThreads</c:v>
                  </c:pt>
                  <c:pt idx="10">
                    <c:v>SmartThreads</c:v>
                  </c:pt>
                  <c:pt idx="11">
                    <c:v>StreetStyle</c:v>
                  </c:pt>
                  <c:pt idx="12">
                    <c:v>StyleCraft</c:v>
                  </c:pt>
                  <c:pt idx="13">
                    <c:v>StyleNest</c:v>
                  </c:pt>
                  <c:pt idx="14">
                    <c:v>TrendWear</c:v>
                  </c:pt>
                  <c:pt idx="15">
                    <c:v>TrendyLook</c:v>
                  </c:pt>
                  <c:pt idx="16">
                    <c:v>UrbanEdge</c:v>
                  </c:pt>
                  <c:pt idx="17">
                    <c:v>UrbanStyle</c:v>
                  </c:pt>
                  <c:pt idx="18">
                    <c:v>UrbanVibe</c:v>
                  </c:pt>
                  <c:pt idx="19">
                    <c:v>VogueWear</c:v>
                  </c:pt>
                  <c:pt idx="20">
                    <c:v>DailyStyle</c:v>
                  </c:pt>
                  <c:pt idx="21">
                    <c:v>DenimZone</c:v>
                  </c:pt>
                  <c:pt idx="22">
                    <c:v>EliteWear</c:v>
                  </c:pt>
                  <c:pt idx="23">
                    <c:v>FashionPoint</c:v>
                  </c:pt>
                  <c:pt idx="24">
                    <c:v>StreetStyle</c:v>
                  </c:pt>
                  <c:pt idx="25">
                    <c:v>StyleNest</c:v>
                  </c:pt>
                  <c:pt idx="26">
                    <c:v>TrendWear</c:v>
                  </c:pt>
                  <c:pt idx="27">
                    <c:v>UrbanEdge</c:v>
                  </c:pt>
                  <c:pt idx="28">
                    <c:v>UrbanStyle</c:v>
                  </c:pt>
                  <c:pt idx="29">
                    <c:v>UrbanVibe</c:v>
                  </c:pt>
                  <c:pt idx="30">
                    <c:v>ClassicWear</c:v>
                  </c:pt>
                  <c:pt idx="31">
                    <c:v>CottonClub</c:v>
                  </c:pt>
                  <c:pt idx="32">
                    <c:v>DailyStyle</c:v>
                  </c:pt>
                  <c:pt idx="33">
                    <c:v>Elegance</c:v>
                  </c:pt>
                  <c:pt idx="34">
                    <c:v>FashionHub</c:v>
                  </c:pt>
                  <c:pt idx="35">
                    <c:v>FashionPoint</c:v>
                  </c:pt>
                  <c:pt idx="36">
                    <c:v>ModernFit</c:v>
                  </c:pt>
                  <c:pt idx="37">
                    <c:v>RoyalThreads</c:v>
                  </c:pt>
                  <c:pt idx="38">
                    <c:v>SmartThreads</c:v>
                  </c:pt>
                  <c:pt idx="39">
                    <c:v>StyleNest</c:v>
                  </c:pt>
                  <c:pt idx="40">
                    <c:v>TrendyLook</c:v>
                  </c:pt>
                  <c:pt idx="41">
                    <c:v>UrbanStyle</c:v>
                  </c:pt>
                  <c:pt idx="42">
                    <c:v>UrbanVibe</c:v>
                  </c:pt>
                  <c:pt idx="43">
                    <c:v>ClassicWear</c:v>
                  </c:pt>
                  <c:pt idx="44">
                    <c:v>CottonClub</c:v>
                  </c:pt>
                  <c:pt idx="45">
                    <c:v>DailyStyle</c:v>
                  </c:pt>
                  <c:pt idx="46">
                    <c:v>Elegance</c:v>
                  </c:pt>
                  <c:pt idx="47">
                    <c:v>FashionHub</c:v>
                  </c:pt>
                  <c:pt idx="48">
                    <c:v>FashionPoint</c:v>
                  </c:pt>
                  <c:pt idx="49">
                    <c:v>ModernFit</c:v>
                  </c:pt>
                  <c:pt idx="50">
                    <c:v>RoyalThreads</c:v>
                  </c:pt>
                  <c:pt idx="51">
                    <c:v>SmartThreads</c:v>
                  </c:pt>
                  <c:pt idx="52">
                    <c:v>StreetStyle</c:v>
                  </c:pt>
                  <c:pt idx="53">
                    <c:v>StyleCraft</c:v>
                  </c:pt>
                  <c:pt idx="54">
                    <c:v>StyleNest</c:v>
                  </c:pt>
                  <c:pt idx="55">
                    <c:v>TrendWear</c:v>
                  </c:pt>
                  <c:pt idx="56">
                    <c:v>UrbanEdge</c:v>
                  </c:pt>
                  <c:pt idx="57">
                    <c:v>UrbanStyle</c:v>
                  </c:pt>
                  <c:pt idx="58">
                    <c:v>VogueWear</c:v>
                  </c:pt>
                  <c:pt idx="59">
                    <c:v>DailyStyle</c:v>
                  </c:pt>
                  <c:pt idx="60">
                    <c:v>DenimZone</c:v>
                  </c:pt>
                  <c:pt idx="61">
                    <c:v>Elegance</c:v>
                  </c:pt>
                  <c:pt idx="62">
                    <c:v>EliteWear</c:v>
                  </c:pt>
                  <c:pt idx="63">
                    <c:v>FashionHub</c:v>
                  </c:pt>
                  <c:pt idx="64">
                    <c:v>ModernFit</c:v>
                  </c:pt>
                  <c:pt idx="65">
                    <c:v>RoyalThreads</c:v>
                  </c:pt>
                  <c:pt idx="66">
                    <c:v>SmartThreads</c:v>
                  </c:pt>
                  <c:pt idx="67">
                    <c:v>StreetStyle</c:v>
                  </c:pt>
                  <c:pt idx="68">
                    <c:v>StyleCraft</c:v>
                  </c:pt>
                  <c:pt idx="69">
                    <c:v>StyleNest</c:v>
                  </c:pt>
                  <c:pt idx="70">
                    <c:v>TrendWear</c:v>
                  </c:pt>
                  <c:pt idx="71">
                    <c:v>TrendyLook</c:v>
                  </c:pt>
                  <c:pt idx="72">
                    <c:v>UrbanEdge</c:v>
                  </c:pt>
                  <c:pt idx="73">
                    <c:v>UrbanVibe</c:v>
                  </c:pt>
                  <c:pt idx="74">
                    <c:v>VogueWear</c:v>
                  </c:pt>
                  <c:pt idx="75">
                    <c:v>CottonClub</c:v>
                  </c:pt>
                  <c:pt idx="76">
                    <c:v>DailyStyle</c:v>
                  </c:pt>
                  <c:pt idx="77">
                    <c:v>Elegance</c:v>
                  </c:pt>
                  <c:pt idx="78">
                    <c:v>EliteWear</c:v>
                  </c:pt>
                  <c:pt idx="79">
                    <c:v>FashionHub</c:v>
                  </c:pt>
                  <c:pt idx="80">
                    <c:v>FashionPoint</c:v>
                  </c:pt>
                  <c:pt idx="81">
                    <c:v>ModernFit</c:v>
                  </c:pt>
                  <c:pt idx="82">
                    <c:v>RoyalThreads</c:v>
                  </c:pt>
                  <c:pt idx="83">
                    <c:v>SmartThreads</c:v>
                  </c:pt>
                  <c:pt idx="84">
                    <c:v>StreetStyle</c:v>
                  </c:pt>
                  <c:pt idx="85">
                    <c:v>StyleCraft</c:v>
                  </c:pt>
                  <c:pt idx="86">
                    <c:v>TrendWear</c:v>
                  </c:pt>
                  <c:pt idx="87">
                    <c:v>TrendyLook</c:v>
                  </c:pt>
                  <c:pt idx="88">
                    <c:v>UrbanEdge</c:v>
                  </c:pt>
                  <c:pt idx="89">
                    <c:v>UrbanVibe</c:v>
                  </c:pt>
                  <c:pt idx="90">
                    <c:v>VogueWear</c:v>
                  </c:pt>
                  <c:pt idx="91">
                    <c:v>CottonClub</c:v>
                  </c:pt>
                  <c:pt idx="92">
                    <c:v>DailyStyle</c:v>
                  </c:pt>
                  <c:pt idx="93">
                    <c:v>DenimZone</c:v>
                  </c:pt>
                  <c:pt idx="94">
                    <c:v>Elegance</c:v>
                  </c:pt>
                  <c:pt idx="95">
                    <c:v>EliteWear</c:v>
                  </c:pt>
                  <c:pt idx="96">
                    <c:v>FashionHub</c:v>
                  </c:pt>
                  <c:pt idx="97">
                    <c:v>FashionPoint</c:v>
                  </c:pt>
                  <c:pt idx="98">
                    <c:v>ModernFit</c:v>
                  </c:pt>
                  <c:pt idx="99">
                    <c:v>StreetStyle</c:v>
                  </c:pt>
                  <c:pt idx="100">
                    <c:v>StyleCraft</c:v>
                  </c:pt>
                  <c:pt idx="101">
                    <c:v>TrendWear</c:v>
                  </c:pt>
                  <c:pt idx="102">
                    <c:v>TrendyLook</c:v>
                  </c:pt>
                  <c:pt idx="103">
                    <c:v>UrbanEdge</c:v>
                  </c:pt>
                  <c:pt idx="104">
                    <c:v>UrbanStyle</c:v>
                  </c:pt>
                  <c:pt idx="105">
                    <c:v>UrbanVibe</c:v>
                  </c:pt>
                  <c:pt idx="106">
                    <c:v>VogueWear</c:v>
                  </c:pt>
                  <c:pt idx="107">
                    <c:v>ClassicWear</c:v>
                  </c:pt>
                  <c:pt idx="108">
                    <c:v>CottonClub</c:v>
                  </c:pt>
                  <c:pt idx="109">
                    <c:v>DenimZone</c:v>
                  </c:pt>
                  <c:pt idx="110">
                    <c:v>Elegance</c:v>
                  </c:pt>
                  <c:pt idx="111">
                    <c:v>EliteWear</c:v>
                  </c:pt>
                  <c:pt idx="112">
                    <c:v>FashionHub</c:v>
                  </c:pt>
                  <c:pt idx="113">
                    <c:v>ModernFit</c:v>
                  </c:pt>
                  <c:pt idx="114">
                    <c:v>RoyalThreads</c:v>
                  </c:pt>
                  <c:pt idx="115">
                    <c:v>SmartThreads</c:v>
                  </c:pt>
                  <c:pt idx="116">
                    <c:v>StreetStyle</c:v>
                  </c:pt>
                  <c:pt idx="117">
                    <c:v>StyleCraft</c:v>
                  </c:pt>
                  <c:pt idx="118">
                    <c:v>StyleNest</c:v>
                  </c:pt>
                  <c:pt idx="119">
                    <c:v>TrendWear</c:v>
                  </c:pt>
                  <c:pt idx="120">
                    <c:v>TrendyLook</c:v>
                  </c:pt>
                  <c:pt idx="121">
                    <c:v>UrbanEdge</c:v>
                  </c:pt>
                  <c:pt idx="122">
                    <c:v>VogueWear</c:v>
                  </c:pt>
                  <c:pt idx="123">
                    <c:v>ClassicWear</c:v>
                  </c:pt>
                  <c:pt idx="124">
                    <c:v>CottonClub</c:v>
                  </c:pt>
                  <c:pt idx="125">
                    <c:v>DailyStyle</c:v>
                  </c:pt>
                  <c:pt idx="126">
                    <c:v>DenimZone</c:v>
                  </c:pt>
                  <c:pt idx="127">
                    <c:v>Elegance</c:v>
                  </c:pt>
                  <c:pt idx="128">
                    <c:v>EliteWear</c:v>
                  </c:pt>
                  <c:pt idx="129">
                    <c:v>FashionHub</c:v>
                  </c:pt>
                  <c:pt idx="130">
                    <c:v>FashionPoint</c:v>
                  </c:pt>
                  <c:pt idx="131">
                    <c:v>ModernFit</c:v>
                  </c:pt>
                  <c:pt idx="132">
                    <c:v>RoyalThreads</c:v>
                  </c:pt>
                  <c:pt idx="133">
                    <c:v>SmartThreads</c:v>
                  </c:pt>
                  <c:pt idx="134">
                    <c:v>StreetStyle</c:v>
                  </c:pt>
                  <c:pt idx="135">
                    <c:v>StyleCraft</c:v>
                  </c:pt>
                  <c:pt idx="136">
                    <c:v>StyleNest</c:v>
                  </c:pt>
                  <c:pt idx="137">
                    <c:v>TrendWear</c:v>
                  </c:pt>
                  <c:pt idx="138">
                    <c:v>TrendyLook</c:v>
                  </c:pt>
                  <c:pt idx="139">
                    <c:v>UrbanEdge</c:v>
                  </c:pt>
                  <c:pt idx="140">
                    <c:v>UrbanStyle</c:v>
                  </c:pt>
                  <c:pt idx="141">
                    <c:v>UrbanVibe</c:v>
                  </c:pt>
                  <c:pt idx="142">
                    <c:v>VogueWear</c:v>
                  </c:pt>
                </c:lvl>
                <c:lvl>
                  <c:pt idx="0">
                    <c:v>Cap</c:v>
                  </c:pt>
                  <c:pt idx="20">
                    <c:v>Jeans</c:v>
                  </c:pt>
                  <c:pt idx="30">
                    <c:v>Kurta</c:v>
                  </c:pt>
                  <c:pt idx="43">
                    <c:v>Lower</c:v>
                  </c:pt>
                  <c:pt idx="59">
                    <c:v>Saree</c:v>
                  </c:pt>
                  <c:pt idx="75">
                    <c:v>Shirt</c:v>
                  </c:pt>
                  <c:pt idx="91">
                    <c:v>Suit</c:v>
                  </c:pt>
                  <c:pt idx="107">
                    <c:v>Top</c:v>
                  </c:pt>
                  <c:pt idx="123">
                    <c:v>T-Shirt</c:v>
                  </c:pt>
                </c:lvl>
              </c:multiLvlStrCache>
            </c:multiLvlStrRef>
          </c:cat>
          <c:val>
            <c:numRef>
              <c:f>'Sales vs Orders'!$D$4:$D$156</c:f>
              <c:numCache>
                <c:formatCode>General</c:formatCode>
                <c:ptCount val="14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8</c:v>
                </c:pt>
                <c:pt idx="32">
                  <c:v>1</c:v>
                </c:pt>
                <c:pt idx="33">
                  <c:v>1</c:v>
                </c:pt>
                <c:pt idx="34">
                  <c:v>5</c:v>
                </c:pt>
                <c:pt idx="35">
                  <c:v>2</c:v>
                </c:pt>
                <c:pt idx="36">
                  <c:v>3</c:v>
                </c:pt>
                <c:pt idx="37">
                  <c:v>9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2</c:v>
                </c:pt>
                <c:pt idx="46">
                  <c:v>3</c:v>
                </c:pt>
                <c:pt idx="47">
                  <c:v>5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3</c:v>
                </c:pt>
                <c:pt idx="67">
                  <c:v>2</c:v>
                </c:pt>
                <c:pt idx="68">
                  <c:v>3</c:v>
                </c:pt>
                <c:pt idx="69">
                  <c:v>7</c:v>
                </c:pt>
                <c:pt idx="70">
                  <c:v>1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3</c:v>
                </c:pt>
                <c:pt idx="80">
                  <c:v>4</c:v>
                </c:pt>
                <c:pt idx="81">
                  <c:v>6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1</c:v>
                </c:pt>
                <c:pt idx="93">
                  <c:v>2</c:v>
                </c:pt>
                <c:pt idx="94">
                  <c:v>3</c:v>
                </c:pt>
                <c:pt idx="95">
                  <c:v>6</c:v>
                </c:pt>
                <c:pt idx="96">
                  <c:v>4</c:v>
                </c:pt>
                <c:pt idx="97">
                  <c:v>3</c:v>
                </c:pt>
                <c:pt idx="98">
                  <c:v>4</c:v>
                </c:pt>
                <c:pt idx="99">
                  <c:v>1</c:v>
                </c:pt>
                <c:pt idx="100">
                  <c:v>4</c:v>
                </c:pt>
                <c:pt idx="101">
                  <c:v>4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4</c:v>
                </c:pt>
                <c:pt idx="106">
                  <c:v>1</c:v>
                </c:pt>
                <c:pt idx="107">
                  <c:v>5</c:v>
                </c:pt>
                <c:pt idx="108">
                  <c:v>2</c:v>
                </c:pt>
                <c:pt idx="109">
                  <c:v>1</c:v>
                </c:pt>
                <c:pt idx="110">
                  <c:v>6</c:v>
                </c:pt>
                <c:pt idx="111">
                  <c:v>2</c:v>
                </c:pt>
                <c:pt idx="112">
                  <c:v>3</c:v>
                </c:pt>
                <c:pt idx="113">
                  <c:v>5</c:v>
                </c:pt>
                <c:pt idx="114">
                  <c:v>3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9</c:v>
                </c:pt>
                <c:pt idx="123">
                  <c:v>3</c:v>
                </c:pt>
                <c:pt idx="124">
                  <c:v>1</c:v>
                </c:pt>
                <c:pt idx="125">
                  <c:v>4</c:v>
                </c:pt>
                <c:pt idx="126">
                  <c:v>5</c:v>
                </c:pt>
                <c:pt idx="127">
                  <c:v>1</c:v>
                </c:pt>
                <c:pt idx="128">
                  <c:v>3</c:v>
                </c:pt>
                <c:pt idx="129">
                  <c:v>1</c:v>
                </c:pt>
                <c:pt idx="130">
                  <c:v>5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4</c:v>
                </c:pt>
                <c:pt idx="135">
                  <c:v>1</c:v>
                </c:pt>
                <c:pt idx="136">
                  <c:v>3</c:v>
                </c:pt>
                <c:pt idx="137">
                  <c:v>3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4</c:v>
                </c:pt>
                <c:pt idx="14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E0-4153-872B-F62997944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695943"/>
        <c:axId val="1855034887"/>
      </c:lineChart>
      <c:catAx>
        <c:axId val="26752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4056"/>
        <c:crosses val="autoZero"/>
        <c:auto val="1"/>
        <c:lblAlgn val="ctr"/>
        <c:lblOffset val="100"/>
        <c:noMultiLvlLbl val="0"/>
      </c:catAx>
      <c:valAx>
        <c:axId val="26754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2008"/>
        <c:crosses val="autoZero"/>
        <c:crossBetween val="between"/>
      </c:valAx>
      <c:valAx>
        <c:axId val="1855034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95943"/>
        <c:crosses val="max"/>
        <c:crossBetween val="between"/>
      </c:valAx>
      <c:catAx>
        <c:axId val="1862695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5034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[Book.xlsx]Man VS Women!PivotTable4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491495247588068E-2"/>
              <c:y val="-1.233847310223927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44470471159367"/>
              <c:y val="-0.169500792384599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44470471159367"/>
              <c:y val="-0.169500792384599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491495247588068E-2"/>
              <c:y val="-1.233847310223927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44470471159367"/>
              <c:y val="-0.169500792384599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491495247588068E-2"/>
              <c:y val="-1.233847310223927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44470471159367"/>
              <c:y val="-0.169500792384599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491495247588068E-2"/>
              <c:y val="-1.233847310223927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949793385484385"/>
              <c:y val="-0.236454584634577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967286423983878"/>
              <c:y val="0.10504452329316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491495247588068E-2"/>
              <c:y val="-1.233847310223927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'Man VS Women'!$B$3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0A-475B-B92E-5414F7EBAC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0A-475B-B92E-5414F7EBAC4A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0A-475B-B92E-5414F7EBAC4A}"/>
              </c:ext>
            </c:extLst>
          </c:dPt>
          <c:dLbls>
            <c:dLbl>
              <c:idx val="0"/>
              <c:layout>
                <c:manualLayout>
                  <c:x val="-0.13949793385484385"/>
                  <c:y val="-0.2364545846345770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0A-475B-B92E-5414F7EBAC4A}"/>
                </c:ext>
              </c:extLst>
            </c:dLbl>
            <c:dLbl>
              <c:idx val="1"/>
              <c:layout>
                <c:manualLayout>
                  <c:x val="0.14967286423983878"/>
                  <c:y val="0.10504452329316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0A-475B-B92E-5414F7EBAC4A}"/>
                </c:ext>
              </c:extLst>
            </c:dLbl>
            <c:dLbl>
              <c:idx val="2"/>
              <c:layout>
                <c:manualLayout>
                  <c:x val="2.2491495247588068E-2"/>
                  <c:y val="-1.233847310223927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0A-475B-B92E-5414F7EBAC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'Man VS Women'!$A$4:$A$7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'Man VS Women'!$B$4:$B$7</c:f>
              <c:numCache>
                <c:formatCode>General</c:formatCode>
                <c:ptCount val="3"/>
                <c:pt idx="0">
                  <c:v>469010</c:v>
                </c:pt>
                <c:pt idx="1">
                  <c:v>210419</c:v>
                </c:pt>
                <c:pt idx="2">
                  <c:v>9692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0A-475B-B92E-5414F7EBA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[Book.xlsx]Payment Method!PivotTable1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layout>
        <c:manualLayout>
          <c:xMode val="edge"/>
          <c:yMode val="edge"/>
          <c:x val="4.1526473547239047E-2"/>
          <c:y val="3.8479474286091844E-2"/>
        </c:manualLayout>
      </c:layout>
      <c:overlay val="0"/>
      <c:spPr>
        <a:solidFill>
          <a:srgbClr val="20376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30549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0549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30549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305496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305496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30549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62-4F01-A458-606190C960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62-4F01-A458-606190C960D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62-4F01-A458-606190C960D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62-4F01-A458-606190C960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62-4F01-A458-606190C960D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A62-4F01-A458-606190C960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Method'!$A$4:$A$10</c:f>
              <c:strCache>
                <c:ptCount val="6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'Payment Method'!$B$4:$B$10</c:f>
              <c:numCache>
                <c:formatCode>General</c:formatCode>
                <c:ptCount val="6"/>
                <c:pt idx="0">
                  <c:v>97145</c:v>
                </c:pt>
                <c:pt idx="1">
                  <c:v>146527</c:v>
                </c:pt>
                <c:pt idx="2">
                  <c:v>109231</c:v>
                </c:pt>
                <c:pt idx="3">
                  <c:v>93255</c:v>
                </c:pt>
                <c:pt idx="4">
                  <c:v>153416</c:v>
                </c:pt>
                <c:pt idx="5">
                  <c:v>89547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62-4F01-A458-606190C96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[Book.xlsx]Product buy m and f!PivotTable1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buy Male Or Female</a:t>
            </a:r>
          </a:p>
        </c:rich>
      </c:tx>
      <c:layout>
        <c:manualLayout>
          <c:xMode val="edge"/>
          <c:yMode val="edge"/>
          <c:x val="0.31130617479509937"/>
          <c:y val="3.0909529859358759E-2"/>
        </c:manualLayout>
      </c:layout>
      <c:overlay val="0"/>
      <c:spPr>
        <a:solidFill>
          <a:srgbClr val="20376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9BD5"/>
          </a:solidFill>
          <a:ln>
            <a:solidFill>
              <a:srgbClr val="000000"/>
            </a:solidFill>
            <a:prstDash val="solid"/>
          </a:ln>
          <a:effectLst/>
        </c:spPr>
      </c:pivotFmt>
      <c:pivotFmt>
        <c:idx val="2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9BD5"/>
          </a:solidFill>
          <a:ln>
            <a:solidFill>
              <a:srgbClr val="000000"/>
            </a:solidFill>
            <a:prstDash val="solid"/>
          </a:ln>
          <a:effectLst/>
        </c:spPr>
      </c:pivotFmt>
      <c:pivotFmt>
        <c:idx val="4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9BD5"/>
          </a:solidFill>
          <a:ln>
            <a:solidFill>
              <a:srgbClr val="000000"/>
            </a:solidFill>
            <a:prstDash val="solid"/>
          </a:ln>
          <a:effectLst/>
        </c:spPr>
      </c:pivotFmt>
      <c:pivotFmt>
        <c:idx val="6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9BD5"/>
          </a:solidFill>
          <a:ln>
            <a:solidFill>
              <a:srgbClr val="000000"/>
            </a:solidFill>
            <a:prstDash val="solid"/>
          </a:ln>
          <a:effectLst/>
        </c:spPr>
      </c:pivotFmt>
      <c:pivotFmt>
        <c:idx val="8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B9BD5"/>
          </a:solidFill>
          <a:ln>
            <a:solidFill>
              <a:srgbClr val="000000"/>
            </a:solidFill>
            <a:prstDash val="solid"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buy m and f'!$B$3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5B9BD5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E4-4BB7-A224-871D923FFA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buy m and f'!$A$4:$A$7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'Product buy m and f'!$B$4:$B$7</c:f>
              <c:numCache>
                <c:formatCode>General</c:formatCode>
                <c:ptCount val="3"/>
                <c:pt idx="0">
                  <c:v>98</c:v>
                </c:pt>
                <c:pt idx="1">
                  <c:v>99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E4-4BB7-A224-871D923FFA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2785672"/>
        <c:axId val="92795912"/>
      </c:barChart>
      <c:catAx>
        <c:axId val="9278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5912"/>
        <c:crosses val="autoZero"/>
        <c:auto val="1"/>
        <c:lblAlgn val="ctr"/>
        <c:lblOffset val="100"/>
        <c:noMultiLvlLbl val="0"/>
      </c:catAx>
      <c:valAx>
        <c:axId val="92795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8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[Book.xlsx]top 10 cities!PivotTable1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Sales Cities</a:t>
            </a:r>
          </a:p>
        </c:rich>
      </c:tx>
      <c:overlay val="0"/>
      <c:spPr>
        <a:solidFill>
          <a:srgbClr val="20376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cities'!$C$3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'top 10 cities'!$A$4:$B$34</c:f>
              <c:multiLvlStrCache>
                <c:ptCount val="20"/>
                <c:lvl>
                  <c:pt idx="0">
                    <c:v>L</c:v>
                  </c:pt>
                  <c:pt idx="1">
                    <c:v>M</c:v>
                  </c:pt>
                  <c:pt idx="2">
                    <c:v>L</c:v>
                  </c:pt>
                  <c:pt idx="3">
                    <c:v>XL</c:v>
                  </c:pt>
                  <c:pt idx="4">
                    <c:v>L</c:v>
                  </c:pt>
                  <c:pt idx="5">
                    <c:v>S</c:v>
                  </c:pt>
                  <c:pt idx="6">
                    <c:v>L</c:v>
                  </c:pt>
                  <c:pt idx="7">
                    <c:v>M</c:v>
                  </c:pt>
                  <c:pt idx="8">
                    <c:v>S</c:v>
                  </c:pt>
                  <c:pt idx="9">
                    <c:v>XXL</c:v>
                  </c:pt>
                  <c:pt idx="10">
                    <c:v>M</c:v>
                  </c:pt>
                  <c:pt idx="11">
                    <c:v>XL</c:v>
                  </c:pt>
                  <c:pt idx="12">
                    <c:v>XL</c:v>
                  </c:pt>
                  <c:pt idx="13">
                    <c:v>L</c:v>
                  </c:pt>
                  <c:pt idx="14">
                    <c:v>XXL</c:v>
                  </c:pt>
                  <c:pt idx="15">
                    <c:v>M</c:v>
                  </c:pt>
                  <c:pt idx="16">
                    <c:v>L</c:v>
                  </c:pt>
                  <c:pt idx="17">
                    <c:v>XL</c:v>
                  </c:pt>
                  <c:pt idx="18">
                    <c:v>L</c:v>
                  </c:pt>
                  <c:pt idx="19">
                    <c:v>XXL</c:v>
                  </c:pt>
                </c:lvl>
                <c:lvl>
                  <c:pt idx="0">
                    <c:v>Ahmedabad</c:v>
                  </c:pt>
                  <c:pt idx="2">
                    <c:v>Ajmer</c:v>
                  </c:pt>
                  <c:pt idx="4">
                    <c:v>Cuttack</c:v>
                  </c:pt>
                  <c:pt idx="6">
                    <c:v>Delhi</c:v>
                  </c:pt>
                  <c:pt idx="10">
                    <c:v>Kota</c:v>
                  </c:pt>
                  <c:pt idx="12">
                    <c:v>Kozhikode</c:v>
                  </c:pt>
                  <c:pt idx="13">
                    <c:v>Patna</c:v>
                  </c:pt>
                  <c:pt idx="15">
                    <c:v>Raipur</c:v>
                  </c:pt>
                  <c:pt idx="16">
                    <c:v>Srinagar</c:v>
                  </c:pt>
                  <c:pt idx="18">
                    <c:v>Udaipur</c:v>
                  </c:pt>
                </c:lvl>
              </c:multiLvlStrCache>
            </c:multiLvlStrRef>
          </c:cat>
          <c:val>
            <c:numRef>
              <c:f>'top 10 cities'!$C$4:$C$34</c:f>
              <c:numCache>
                <c:formatCode>General</c:formatCode>
                <c:ptCount val="20"/>
                <c:pt idx="0">
                  <c:v>10497</c:v>
                </c:pt>
                <c:pt idx="1">
                  <c:v>799</c:v>
                </c:pt>
                <c:pt idx="2">
                  <c:v>13395</c:v>
                </c:pt>
                <c:pt idx="3">
                  <c:v>1299</c:v>
                </c:pt>
                <c:pt idx="4">
                  <c:v>4998</c:v>
                </c:pt>
                <c:pt idx="5">
                  <c:v>5798</c:v>
                </c:pt>
                <c:pt idx="6">
                  <c:v>2598</c:v>
                </c:pt>
                <c:pt idx="7">
                  <c:v>6597</c:v>
                </c:pt>
                <c:pt idx="8">
                  <c:v>4398</c:v>
                </c:pt>
                <c:pt idx="9">
                  <c:v>4598</c:v>
                </c:pt>
                <c:pt idx="10">
                  <c:v>3998</c:v>
                </c:pt>
                <c:pt idx="11">
                  <c:v>7297</c:v>
                </c:pt>
                <c:pt idx="12">
                  <c:v>10497</c:v>
                </c:pt>
                <c:pt idx="13">
                  <c:v>10497</c:v>
                </c:pt>
                <c:pt idx="14">
                  <c:v>9196</c:v>
                </c:pt>
                <c:pt idx="15">
                  <c:v>11195</c:v>
                </c:pt>
                <c:pt idx="16">
                  <c:v>6998</c:v>
                </c:pt>
                <c:pt idx="17">
                  <c:v>5997</c:v>
                </c:pt>
                <c:pt idx="18">
                  <c:v>8997</c:v>
                </c:pt>
                <c:pt idx="19">
                  <c:v>7497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4-4792-8505-0DBD30B7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537671"/>
        <c:axId val="1254139399"/>
      </c:barChart>
      <c:valAx>
        <c:axId val="125413939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90353767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90353767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spPr>
          <a:solidFill>
            <a:srgbClr val="FFF2CC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541393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1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xlsrvcdf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1438275</xdr:colOff>
      <xdr:row>7</xdr:row>
      <xdr:rowOff>161925</xdr:rowOff>
    </xdr:from>
    <xdr:to>
      <xdr:col>9</xdr:col>
      <xdr:colOff>466725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3258F-E6DE-4E27-24FA-0E2E1E9DA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152400</xdr:rowOff>
    </xdr:from>
    <xdr:to>
      <xdr:col>7</xdr:col>
      <xdr:colOff>476250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CADCE-4211-04B4-3442-AA37418D0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1276350</xdr:colOff>
      <xdr:row>3</xdr:row>
      <xdr:rowOff>38100</xdr:rowOff>
    </xdr:from>
    <xdr:to>
      <xdr:col>9</xdr:col>
      <xdr:colOff>47625</xdr:colOff>
      <xdr:row>15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BADD82-A926-3215-CB86-E4A3D0002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561975</xdr:colOff>
      <xdr:row>2</xdr:row>
      <xdr:rowOff>19050</xdr:rowOff>
    </xdr:from>
    <xdr:to>
      <xdr:col>12</xdr:col>
      <xdr:colOff>561975</xdr:colOff>
      <xdr:row>11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AYMENT METHOD  1">
              <a:extLst>
                <a:ext uri="{FF2B5EF4-FFF2-40B4-BE49-F238E27FC236}">
                  <a16:creationId xmlns:a16="http://schemas.microsoft.com/office/drawing/2014/main" id="{FE4DED8E-E2D6-6AE5-585D-9D53F5481377}"/>
                </a:ext>
                <a:ext uri="{147F2762-F138-4A5C-976F-8EAC2B608ADB}">
                  <a16:predDERef xmlns:a16="http://schemas.microsoft.com/office/drawing/2014/main" pred="{89BADD82-A926-3215-CB86-E4A3D00021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 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10625" y="400050"/>
              <a:ext cx="1828800" cy="1866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0</xdr:row>
      <xdr:rowOff>85725</xdr:rowOff>
    </xdr:from>
    <xdr:to>
      <xdr:col>11</xdr:col>
      <xdr:colOff>114300</xdr:colOff>
      <xdr:row>35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7F84E9-D032-2308-638B-8E87B6D6F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4</xdr:row>
      <xdr:rowOff>66675</xdr:rowOff>
    </xdr:from>
    <xdr:to>
      <xdr:col>7</xdr:col>
      <xdr:colOff>638175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5CA34-77F0-46CB-EC5C-75BAF3125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676275</xdr:colOff>
      <xdr:row>0</xdr:row>
      <xdr:rowOff>161925</xdr:rowOff>
    </xdr:from>
    <xdr:to>
      <xdr:col>17</xdr:col>
      <xdr:colOff>514350</xdr:colOff>
      <xdr:row>9</xdr:row>
      <xdr:rowOff>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PAYMENT METHOD ">
              <a:extLst>
                <a:ext uri="{FF2B5EF4-FFF2-40B4-BE49-F238E27FC236}">
                  <a16:creationId xmlns:a16="http://schemas.microsoft.com/office/drawing/2014/main" id="{FA7DD1E7-7866-35CA-A3B1-920B8B24EA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35525" y="190500"/>
              <a:ext cx="1828800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15</xdr:col>
      <xdr:colOff>685800</xdr:colOff>
      <xdr:row>9</xdr:row>
      <xdr:rowOff>180975</xdr:rowOff>
    </xdr:from>
    <xdr:to>
      <xdr:col>17</xdr:col>
      <xdr:colOff>523875</xdr:colOff>
      <xdr:row>17</xdr:row>
      <xdr:rowOff>152400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SIZE">
              <a:extLst>
                <a:ext uri="{FF2B5EF4-FFF2-40B4-BE49-F238E27FC236}">
                  <a16:creationId xmlns:a16="http://schemas.microsoft.com/office/drawing/2014/main" id="{C489CA76-4517-C61C-1006-033BDE2051E2}"/>
                </a:ext>
                <a:ext uri="{147F2762-F138-4A5C-976F-8EAC2B608ADB}">
                  <a16:predDERef xmlns:a16="http://schemas.microsoft.com/office/drawing/2014/main" pred="{FA7DD1E7-7866-35CA-A3B1-920B8B24EA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06950" y="2152650"/>
              <a:ext cx="1828800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-219075</xdr:colOff>
      <xdr:row>2</xdr:row>
      <xdr:rowOff>85725</xdr:rowOff>
    </xdr:from>
    <xdr:to>
      <xdr:col>0</xdr:col>
      <xdr:colOff>-219075</xdr:colOff>
      <xdr:row>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BEC872-FF8A-43C4-8AE6-CE52153A8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28575</xdr:rowOff>
    </xdr:from>
    <xdr:to>
      <xdr:col>6</xdr:col>
      <xdr:colOff>371475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25C5FE-70A3-45D1-B340-A94C502EED2E}"/>
            </a:ext>
            <a:ext uri="{147F2762-F138-4A5C-976F-8EAC2B608ADB}">
              <a16:predDERef xmlns:a16="http://schemas.microsoft.com/office/drawing/2014/main" pred="{62BEC872-FF8A-43C4-8AE6-CE52153A8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1028700</xdr:colOff>
      <xdr:row>23</xdr:row>
      <xdr:rowOff>133350</xdr:rowOff>
    </xdr:from>
    <xdr:to>
      <xdr:col>8</xdr:col>
      <xdr:colOff>495300</xdr:colOff>
      <xdr:row>35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3A88B0-13A4-4F82-9710-4655D8465C23}"/>
            </a:ext>
            <a:ext uri="{147F2762-F138-4A5C-976F-8EAC2B608ADB}">
              <a16:predDERef xmlns:a16="http://schemas.microsoft.com/office/drawing/2014/main" pred="{1B25C5FE-70A3-45D1-B340-A94C502EE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1323975</xdr:colOff>
      <xdr:row>2</xdr:row>
      <xdr:rowOff>85725</xdr:rowOff>
    </xdr:from>
    <xdr:to>
      <xdr:col>15</xdr:col>
      <xdr:colOff>276225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94339-544C-45C8-B2C9-EB163B875B48}"/>
            </a:ext>
            <a:ext uri="{147F2762-F138-4A5C-976F-8EAC2B608ADB}">
              <a16:predDERef xmlns:a16="http://schemas.microsoft.com/office/drawing/2014/main" pred="{6A3A88B0-13A4-4F82-9710-4655D8465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609600</xdr:colOff>
      <xdr:row>19</xdr:row>
      <xdr:rowOff>142875</xdr:rowOff>
    </xdr:from>
    <xdr:to>
      <xdr:col>15</xdr:col>
      <xdr:colOff>323850</xdr:colOff>
      <xdr:row>35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EF4BA9-F87A-498D-B36F-A4B2A979E411}"/>
            </a:ext>
            <a:ext uri="{147F2762-F138-4A5C-976F-8EAC2B608ADB}">
              <a16:predDERef xmlns:a16="http://schemas.microsoft.com/office/drawing/2014/main" pred="{78494339-544C-45C8-B2C9-EB163B875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142875</xdr:colOff>
      <xdr:row>0</xdr:row>
      <xdr:rowOff>76200</xdr:rowOff>
    </xdr:from>
    <xdr:to>
      <xdr:col>0</xdr:col>
      <xdr:colOff>581025</xdr:colOff>
      <xdr:row>1</xdr:row>
      <xdr:rowOff>104775</xdr:rowOff>
    </xdr:to>
    <xdr:pic>
      <xdr:nvPicPr>
        <xdr:cNvPr id="9" name="Picture 8" title="Cardboard boxes">
          <a:extLst>
            <a:ext uri="{FF2B5EF4-FFF2-40B4-BE49-F238E27FC236}">
              <a16:creationId xmlns:a16="http://schemas.microsoft.com/office/drawing/2014/main" id="{0361F406-9D4E-8530-55F4-A437283DEBE4}"/>
            </a:ext>
            <a:ext uri="{147F2762-F138-4A5C-976F-8EAC2B608ADB}">
              <a16:predDERef xmlns:a16="http://schemas.microsoft.com/office/drawing/2014/main" pred="{31EF4BA9-F87A-498D-B36F-A4B2A979E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" y="76200"/>
          <a:ext cx="438150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171450</xdr:rowOff>
    </xdr:from>
    <xdr:to>
      <xdr:col>1</xdr:col>
      <xdr:colOff>952500</xdr:colOff>
      <xdr:row>36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GE">
              <a:extLst>
                <a:ext uri="{FF2B5EF4-FFF2-40B4-BE49-F238E27FC236}">
                  <a16:creationId xmlns:a16="http://schemas.microsoft.com/office/drawing/2014/main" id="{6E561193-4A71-9EC0-5078-6D3EB9CE600D}"/>
                </a:ext>
                <a:ext uri="{147F2762-F138-4A5C-976F-8EAC2B608ADB}">
                  <a16:predDERef xmlns:a16="http://schemas.microsoft.com/office/drawing/2014/main" pred="{0361F406-9D4E-8530-55F4-A437283DEB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72550" y="4152900"/>
              <a:ext cx="173355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942975</xdr:colOff>
      <xdr:row>22</xdr:row>
      <xdr:rowOff>171450</xdr:rowOff>
    </xdr:from>
    <xdr:to>
      <xdr:col>3</xdr:col>
      <xdr:colOff>733425</xdr:colOff>
      <xdr:row>36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PRDUCT ">
              <a:extLst>
                <a:ext uri="{FF2B5EF4-FFF2-40B4-BE49-F238E27FC236}">
                  <a16:creationId xmlns:a16="http://schemas.microsoft.com/office/drawing/2014/main" id="{102FE7F7-7E6D-24A9-C2E7-C5C514C2935E}"/>
                </a:ext>
                <a:ext uri="{147F2762-F138-4A5C-976F-8EAC2B608ADB}">
                  <a16:predDERef xmlns:a16="http://schemas.microsoft.com/office/drawing/2014/main" pred="{6E561193-4A71-9EC0-5078-6D3EB9CE60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DUCT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9925" y="4152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628650</xdr:colOff>
      <xdr:row>5</xdr:row>
      <xdr:rowOff>152400</xdr:rowOff>
    </xdr:from>
    <xdr:to>
      <xdr:col>7</xdr:col>
      <xdr:colOff>1143000</xdr:colOff>
      <xdr:row>23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BRAND">
              <a:extLst>
                <a:ext uri="{FF2B5EF4-FFF2-40B4-BE49-F238E27FC236}">
                  <a16:creationId xmlns:a16="http://schemas.microsoft.com/office/drawing/2014/main" id="{F12550D1-7F59-A51A-456E-F8B4FCB681B6}"/>
                </a:ext>
                <a:ext uri="{147F2762-F138-4A5C-976F-8EAC2B608ADB}">
                  <a16:predDERef xmlns:a16="http://schemas.microsoft.com/office/drawing/2014/main" pred="{102FE7F7-7E6D-24A9-C2E7-C5C514C293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10650" y="1619250"/>
              <a:ext cx="1704975" cy="236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714375</xdr:colOff>
      <xdr:row>22</xdr:row>
      <xdr:rowOff>171450</xdr:rowOff>
    </xdr:from>
    <xdr:to>
      <xdr:col>5</xdr:col>
      <xdr:colOff>904875</xdr:colOff>
      <xdr:row>26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SIZE 1">
              <a:extLst>
                <a:ext uri="{FF2B5EF4-FFF2-40B4-BE49-F238E27FC236}">
                  <a16:creationId xmlns:a16="http://schemas.microsoft.com/office/drawing/2014/main" id="{8F763CE8-6BB4-5CD4-64B5-E59671E4AC0D}"/>
                </a:ext>
                <a:ext uri="{147F2762-F138-4A5C-976F-8EAC2B608ADB}">
                  <a16:predDERef xmlns:a16="http://schemas.microsoft.com/office/drawing/2014/main" pred="{F12550D1-7F59-A51A-456E-F8B4FCB681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6425" y="571500"/>
              <a:ext cx="2028825" cy="619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828675</xdr:colOff>
      <xdr:row>2</xdr:row>
      <xdr:rowOff>76200</xdr:rowOff>
    </xdr:from>
    <xdr:to>
      <xdr:col>7</xdr:col>
      <xdr:colOff>981075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QUANTITY">
              <a:extLst>
                <a:ext uri="{FF2B5EF4-FFF2-40B4-BE49-F238E27FC236}">
                  <a16:creationId xmlns:a16="http://schemas.microsoft.com/office/drawing/2014/main" id="{8386E944-B626-8476-872D-C1422C6D1D12}"/>
                </a:ext>
                <a:ext uri="{147F2762-F138-4A5C-976F-8EAC2B608ADB}">
                  <a16:predDERef xmlns:a16="http://schemas.microsoft.com/office/drawing/2014/main" pred="{8F763CE8-6BB4-5CD4-64B5-E59671E4AC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NT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1350" y="1295400"/>
              <a:ext cx="1828800" cy="619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723900</xdr:colOff>
      <xdr:row>26</xdr:row>
      <xdr:rowOff>95250</xdr:rowOff>
    </xdr:from>
    <xdr:to>
      <xdr:col>5</xdr:col>
      <xdr:colOff>895350</xdr:colOff>
      <xdr:row>35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PAYMENT METHOD  2">
              <a:extLst>
                <a:ext uri="{FF2B5EF4-FFF2-40B4-BE49-F238E27FC236}">
                  <a16:creationId xmlns:a16="http://schemas.microsoft.com/office/drawing/2014/main" id="{41B80E63-B085-8264-2790-503618F149E3}"/>
                </a:ext>
                <a:ext uri="{147F2762-F138-4A5C-976F-8EAC2B608ADB}">
                  <a16:predDERef xmlns:a16="http://schemas.microsoft.com/office/drawing/2014/main" pred="{8386E944-B626-8476-872D-C1422C6D1D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 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0400" y="2076450"/>
              <a:ext cx="1800225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15</xdr:col>
      <xdr:colOff>514350</xdr:colOff>
      <xdr:row>2</xdr:row>
      <xdr:rowOff>38100</xdr:rowOff>
    </xdr:from>
    <xdr:to>
      <xdr:col>22</xdr:col>
      <xdr:colOff>104775</xdr:colOff>
      <xdr:row>34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F82F7D-7667-4581-AF08-E35DE78F9A93}"/>
            </a:ext>
            <a:ext uri="{147F2762-F138-4A5C-976F-8EAC2B608ADB}">
              <a16:predDERef xmlns:a16="http://schemas.microsoft.com/office/drawing/2014/main" pred="{41B80E63-B085-8264-2790-503618F14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3.839087384258" createdVersion="8" refreshedVersion="8" minRefreshableVersion="3" recordCount="200" xr:uid="{C496AFD6-2D04-4F2F-911A-85DCBEBB601F}">
  <cacheSource type="worksheet">
    <worksheetSource name="Table1"/>
  </cacheSource>
  <cacheFields count="15">
    <cacheField name="S.NO " numFmtId="0">
      <sharedItems containsSemiMixedTypes="0" containsString="0" containsNumber="1" containsInteger="1" minValue="1" maxValue="200"/>
    </cacheField>
    <cacheField name="CUSTOMER ID " numFmtId="0">
      <sharedItems containsSemiMixedTypes="0" containsString="0" containsNumber="1" containsInteger="1" minValue="101" maxValue="300"/>
    </cacheField>
    <cacheField name="ORDER DATE " numFmtId="0">
      <sharedItems containsDate="1" containsMixedTypes="1" minDate="2026-01-04T00:00:00" maxDate="7436-02-13T00:00:00"/>
    </cacheField>
    <cacheField name="AGE" numFmtId="0">
      <sharedItems containsSemiMixedTypes="0" containsString="0" containsNumber="1" containsInteger="1" minValue="18" maxValue="45" count="28">
        <n v="18"/>
        <n v="25"/>
        <n v="32"/>
        <n v="21"/>
        <n v="29"/>
        <n v="41"/>
        <n v="23"/>
        <n v="35"/>
        <n v="27"/>
        <n v="19"/>
        <n v="44"/>
        <n v="31"/>
        <n v="26"/>
        <n v="38"/>
        <n v="22"/>
        <n v="30"/>
        <n v="24"/>
        <n v="36"/>
        <n v="28"/>
        <n v="42"/>
        <n v="20"/>
        <n v="33"/>
        <n v="39"/>
        <n v="45"/>
        <n v="34"/>
        <n v="40"/>
        <n v="37"/>
        <n v="43"/>
      </sharedItems>
    </cacheField>
    <cacheField name="NAME" numFmtId="0">
      <sharedItems/>
    </cacheField>
    <cacheField name="CITY" numFmtId="0">
      <sharedItems count="156">
        <s v="Delhi"/>
        <s v="Mumbai"/>
        <s v="Bengaluru"/>
        <s v="Hyderabad"/>
        <s v="Ahmedabad"/>
        <s v="Kolkata"/>
        <s v="Pune"/>
        <s v="Jaipur"/>
        <s v="Lucknow"/>
        <s v="Kanpur"/>
        <s v="Nagpur"/>
        <s v="Indore"/>
        <s v="Bhopal"/>
        <s v="Patna"/>
        <s v="Vadodara"/>
        <s v="Agra"/>
        <s v="Ludhiana"/>
        <s v="Amritsar"/>
        <s v="Chandigarh"/>
        <s v="Noida"/>
        <s v="Gurugram"/>
        <s v="Faridabad"/>
        <s v="Ghaziabad"/>
        <s v="Meerut"/>
        <s v="Nashik"/>
        <s v="Rajkot"/>
        <s v="Ranchi"/>
        <s v="Dehradun"/>
        <s v="Kochi"/>
        <s v="Coimbatore"/>
        <s v="Mysuru"/>
        <s v="Jodhpur"/>
        <s v="Udaipur"/>
        <s v="Ajmer"/>
        <s v="Allahabad"/>
        <s v="Prayagraj"/>
        <s v="Gwalior"/>
        <s v="Jabalpur"/>
        <s v="Raipur"/>
        <s v="Bhubaneswar"/>
        <s v="Cuttack"/>
        <s v="Guwahati"/>
        <s v="Srinagar"/>
        <s v="Jammu"/>
        <s v="Shimla"/>
        <s v="Haridwar"/>
        <s v="Rohtak"/>
        <s v="Hisar"/>
        <s v="Panipat"/>
        <s v="Sonipat"/>
        <s v="Karnal"/>
        <s v="Bathinda"/>
        <s v="Jalandhar"/>
        <s v="Patiala"/>
        <s v="Mohali"/>
        <s v="Ambala"/>
        <s v="Yamunanagar"/>
        <s v="Kurukshetra"/>
        <s v="Rewari"/>
        <s v="Bahadurgarh"/>
        <s v="Bhiwani"/>
        <s v="Sirsa"/>
        <s v="Firozabad"/>
        <s v="Mathura"/>
        <s v="Aligarh"/>
        <s v="Bareilly"/>
        <s v="Moradabad"/>
        <s v="Saharanpur"/>
        <s v="Gorakhpur"/>
        <s v="Jhansi"/>
        <s v="Ayodhya"/>
        <s v="Muzaffarnagar"/>
        <s v="Hapur"/>
        <s v="Bulandshahr"/>
        <s v="Alwar"/>
        <s v="Kota"/>
        <s v="Bikaner"/>
        <s v="Bharatpur"/>
        <s v="Bhilwara"/>
        <s v="Jaisalmer"/>
        <s v="Barmer"/>
        <s v="Pali"/>
        <s v="Chittorgarh"/>
        <s v="Mangaluru"/>
        <s v="Hubballi"/>
        <s v="Belagavi"/>
        <s v="Davangere"/>
        <s v="Tumakuru"/>
        <s v="Ballari"/>
        <s v="Shivamogga"/>
        <s v="Hassan"/>
        <s v="Udupi"/>
        <s v="Chennai"/>
        <s v="Madurai"/>
        <s v="Salem"/>
        <s v="Tiruchirappalli"/>
        <s v="Tirunelveli"/>
        <s v="Vellore"/>
        <s v="Erode"/>
        <s v="Thoothukudi"/>
        <s v="Dindigul"/>
        <s v="Thanjavur"/>
        <s v="Kozhikode"/>
        <s v="Thrissur"/>
        <s v="Kollam"/>
        <s v="Kannur"/>
        <s v="Alappuzha"/>
        <s v="Kottayam"/>
        <s v="Palakkad"/>
        <s v="Malappuram"/>
        <s v="Aurangabad"/>
        <s v="Kolhapur"/>
        <s v="Solapur"/>
        <s v="Amravati"/>
        <s v="Nanded"/>
        <s v="Satara"/>
        <s v="Howrah"/>
        <s v="Durgapur"/>
        <s v="Asansol"/>
        <s v="Siliguri"/>
        <s v="Kharagpur"/>
        <s v="Darjeeling"/>
        <s v="Malda"/>
        <s v="Jamshedpur"/>
        <s v="Dhanbad"/>
        <s v="Bokaro"/>
        <s v="Deoghar"/>
        <s v="Hazaribagh"/>
        <s v="Gaya"/>
        <s v="Bhagalpur"/>
        <s v="Muzaffarpur"/>
        <s v="Darbhanga"/>
        <s v="Purnia"/>
        <s v="Surat"/>
        <s v="Bhavnagar"/>
        <s v="Jamnagar"/>
        <s v="Gandhinagar"/>
        <s v="Anand"/>
        <s v="Junagadh"/>
        <s v="Ujjain"/>
        <s v="Sagar"/>
        <s v="Satna"/>
        <s v="Ratlam"/>
        <s v="Rewa"/>
        <s v="Bilaspur"/>
        <s v="Durg"/>
        <s v="Korba"/>
        <s v="Bhilai"/>
        <s v="Rourkela"/>
        <s v="Puri"/>
        <s v="Berhampur"/>
        <s v="Dibrugarh"/>
        <s v="Silchar"/>
        <s v="Shillong"/>
        <s v="Bhiwami"/>
        <s v="Santkabeernagar"/>
      </sharedItems>
    </cacheField>
    <cacheField name="PRDUCT " numFmtId="0">
      <sharedItems count="9">
        <s v="T-Shirt"/>
        <s v="Lower"/>
        <s v="Jeans"/>
        <s v="Saree"/>
        <s v="Suit"/>
        <s v="Kurta"/>
        <s v="Shirt"/>
        <s v="Top"/>
        <s v="Cap"/>
      </sharedItems>
    </cacheField>
    <cacheField name="BRAND" numFmtId="0">
      <sharedItems count="20">
        <s v="UrbanStyle"/>
        <s v="FashionHub"/>
        <s v="TrendWear"/>
        <s v="StyleCraft"/>
        <s v="DenimZone"/>
        <s v="RoyalThreads"/>
        <s v="UrbanVibe"/>
        <s v="ClassicWear"/>
        <s v="StreetStyle"/>
        <s v="Elegance"/>
        <s v="FashionPoint"/>
        <s v="TrendyLook"/>
        <s v="StyleNest"/>
        <s v="CottonClub"/>
        <s v="UrbanEdge"/>
        <s v="VogueWear"/>
        <s v="DailyStyle"/>
        <s v="ModernFit"/>
        <s v="EliteWear"/>
        <s v="SmartThreads"/>
      </sharedItems>
    </cacheField>
    <cacheField name="GENDER" numFmtId="0">
      <sharedItems count="3">
        <s v="Male"/>
        <s v="Female"/>
        <s v="Other"/>
      </sharedItems>
    </cacheField>
    <cacheField name="SIZE" numFmtId="0">
      <sharedItems count="5">
        <s v="M"/>
        <s v="L"/>
        <s v="XL"/>
        <s v="S"/>
        <s v="XXL"/>
      </sharedItems>
    </cacheField>
    <cacheField name="COLOR" numFmtId="0">
      <sharedItems/>
    </cacheField>
    <cacheField name="QUANTITY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RICE UNIT" numFmtId="0">
      <sharedItems containsSemiMixedTypes="0" containsString="0" containsNumber="1" containsInteger="1" minValue="499" maxValue="3499"/>
    </cacheField>
    <cacheField name="PAYMENT METHOD " numFmtId="0">
      <sharedItems count="6">
        <s v="UPI"/>
        <s v="Credit Card"/>
        <s v="Debit Card"/>
        <s v="COD"/>
        <s v="Net Banking"/>
        <s v="Wallet"/>
      </sharedItems>
    </cacheField>
    <cacheField name="TOTAL AMOUNT " numFmtId="0">
      <sharedItems containsSemiMixedTypes="0" containsString="0" containsNumber="1" containsInteger="1" minValue="599" maxValue="11996"/>
    </cacheField>
  </cacheFields>
  <extLst>
    <ext xmlns:x14="http://schemas.microsoft.com/office/spreadsheetml/2009/9/main" uri="{725AE2AE-9491-48be-B2B4-4EB974FC3084}">
      <x14:pivotCacheDefinition pivotCacheId="7202581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n v="101"/>
    <d v="2026-04-01T00:00:00"/>
    <x v="0"/>
    <s v="Aarav Sharma"/>
    <x v="0"/>
    <x v="0"/>
    <x v="0"/>
    <x v="0"/>
    <x v="0"/>
    <s v="Black"/>
    <x v="0"/>
    <n v="599"/>
    <x v="0"/>
    <n v="599"/>
  </r>
  <r>
    <n v="2"/>
    <n v="102"/>
    <s v="17-03-2026"/>
    <x v="1"/>
    <s v="Vivaan Gupta"/>
    <x v="1"/>
    <x v="1"/>
    <x v="1"/>
    <x v="1"/>
    <x v="1"/>
    <s v="White"/>
    <x v="1"/>
    <n v="899"/>
    <x v="1"/>
    <n v="1798"/>
  </r>
  <r>
    <n v="3"/>
    <n v="103"/>
    <s v="22-07-2026"/>
    <x v="2"/>
    <s v="Aditya Verma"/>
    <x v="2"/>
    <x v="2"/>
    <x v="2"/>
    <x v="0"/>
    <x v="2"/>
    <s v="Blue"/>
    <x v="0"/>
    <n v="1499"/>
    <x v="2"/>
    <n v="1499"/>
  </r>
  <r>
    <n v="4"/>
    <n v="104"/>
    <d v="2026-09-02T00:00:00"/>
    <x v="3"/>
    <s v="Arjun Mehta"/>
    <x v="3"/>
    <x v="3"/>
    <x v="3"/>
    <x v="1"/>
    <x v="3"/>
    <s v="Red"/>
    <x v="2"/>
    <n v="2499"/>
    <x v="3"/>
    <n v="7497"/>
  </r>
  <r>
    <n v="5"/>
    <n v="105"/>
    <s v="13-11-2026"/>
    <x v="4"/>
    <s v="Reyansh Kumar"/>
    <x v="4"/>
    <x v="4"/>
    <x v="4"/>
    <x v="0"/>
    <x v="0"/>
    <s v="Green"/>
    <x v="0"/>
    <n v="799"/>
    <x v="4"/>
    <n v="799"/>
  </r>
  <r>
    <n v="6"/>
    <n v="106"/>
    <s v="28-05-2026"/>
    <x v="5"/>
    <s v="Krishna Singh"/>
    <x v="0"/>
    <x v="5"/>
    <x v="5"/>
    <x v="1"/>
    <x v="1"/>
    <s v="Yellow"/>
    <x v="1"/>
    <n v="1299"/>
    <x v="0"/>
    <n v="2598"/>
  </r>
  <r>
    <n v="7"/>
    <n v="107"/>
    <d v="2026-06-09T00:00:00"/>
    <x v="6"/>
    <s v="Ishaan Malhotra"/>
    <x v="5"/>
    <x v="6"/>
    <x v="6"/>
    <x v="0"/>
    <x v="4"/>
    <s v="Pink"/>
    <x v="0"/>
    <n v="999"/>
    <x v="1"/>
    <n v="999"/>
  </r>
  <r>
    <n v="8"/>
    <n v="108"/>
    <s v="21-12-2026"/>
    <x v="7"/>
    <s v="Kabir Joshi"/>
    <x v="6"/>
    <x v="7"/>
    <x v="7"/>
    <x v="1"/>
    <x v="0"/>
    <s v="Grey"/>
    <x v="0"/>
    <n v="1599"/>
    <x v="2"/>
    <n v="1599"/>
  </r>
  <r>
    <n v="9"/>
    <n v="109"/>
    <s v="15-04-2026"/>
    <x v="8"/>
    <s v="Rohan Kapoor"/>
    <x v="7"/>
    <x v="8"/>
    <x v="8"/>
    <x v="0"/>
    <x v="3"/>
    <s v="Navy Blue"/>
    <x v="1"/>
    <n v="499"/>
    <x v="3"/>
    <n v="998"/>
  </r>
  <r>
    <n v="10"/>
    <n v="110"/>
    <s v="31-08-2026"/>
    <x v="9"/>
    <s v="Ayaan Khan"/>
    <x v="8"/>
    <x v="0"/>
    <x v="9"/>
    <x v="1"/>
    <x v="1"/>
    <s v="Maroon"/>
    <x v="0"/>
    <n v="699"/>
    <x v="5"/>
    <n v="699"/>
  </r>
  <r>
    <n v="11"/>
    <n v="111"/>
    <d v="2026-11-06T00:00:00"/>
    <x v="10"/>
    <s v="Dhruv Agarwal"/>
    <x v="9"/>
    <x v="2"/>
    <x v="10"/>
    <x v="0"/>
    <x v="2"/>
    <s v="Black"/>
    <x v="2"/>
    <n v="1199"/>
    <x v="0"/>
    <n v="3597"/>
  </r>
  <r>
    <n v="12"/>
    <n v="112"/>
    <d v="2026-03-10T00:00:00"/>
    <x v="11"/>
    <s v="Aryan Bansal"/>
    <x v="10"/>
    <x v="5"/>
    <x v="11"/>
    <x v="1"/>
    <x v="0"/>
    <s v="White"/>
    <x v="0"/>
    <n v="1799"/>
    <x v="2"/>
    <n v="1799"/>
  </r>
  <r>
    <n v="13"/>
    <n v="113"/>
    <s v="26-01-2026"/>
    <x v="12"/>
    <s v="Yash Thakur"/>
    <x v="11"/>
    <x v="7"/>
    <x v="12"/>
    <x v="0"/>
    <x v="1"/>
    <s v="Sky Blue"/>
    <x v="1"/>
    <n v="899"/>
    <x v="1"/>
    <n v="1798"/>
  </r>
  <r>
    <n v="14"/>
    <n v="114"/>
    <d v="2026-08-07T00:00:00"/>
    <x v="13"/>
    <s v="Kunal Saini"/>
    <x v="12"/>
    <x v="6"/>
    <x v="13"/>
    <x v="1"/>
    <x v="3"/>
    <s v="Dark Blue"/>
    <x v="0"/>
    <n v="1399"/>
    <x v="3"/>
    <n v="1399"/>
  </r>
  <r>
    <n v="15"/>
    <n v="115"/>
    <s v="29-03-2026"/>
    <x v="14"/>
    <s v="Mohit Arora"/>
    <x v="13"/>
    <x v="1"/>
    <x v="14"/>
    <x v="0"/>
    <x v="4"/>
    <s v="Red"/>
    <x v="3"/>
    <n v="2299"/>
    <x v="4"/>
    <n v="9196"/>
  </r>
  <r>
    <n v="16"/>
    <n v="116"/>
    <d v="2026-05-12T00:00:00"/>
    <x v="15"/>
    <s v="Rahul Chawla"/>
    <x v="0"/>
    <x v="3"/>
    <x v="15"/>
    <x v="1"/>
    <x v="0"/>
    <s v="Pink"/>
    <x v="1"/>
    <n v="2999"/>
    <x v="0"/>
    <n v="5998"/>
  </r>
  <r>
    <n v="17"/>
    <n v="117"/>
    <s v="14-05-2026"/>
    <x v="16"/>
    <s v="Ankit Tiwari"/>
    <x v="14"/>
    <x v="4"/>
    <x v="16"/>
    <x v="0"/>
    <x v="1"/>
    <s v="Purple"/>
    <x v="0"/>
    <n v="1099"/>
    <x v="5"/>
    <n v="1099"/>
  </r>
  <r>
    <n v="18"/>
    <n v="118"/>
    <s v="19-09-2026"/>
    <x v="17"/>
    <s v="Nikhil Jain"/>
    <x v="15"/>
    <x v="8"/>
    <x v="17"/>
    <x v="1"/>
    <x v="2"/>
    <s v="Green"/>
    <x v="2"/>
    <n v="1899"/>
    <x v="1"/>
    <n v="5697"/>
  </r>
  <r>
    <n v="19"/>
    <n v="119"/>
    <s v="22-02-2026"/>
    <x v="18"/>
    <s v="Varun Saxena"/>
    <x v="0"/>
    <x v="0"/>
    <x v="18"/>
    <x v="0"/>
    <x v="3"/>
    <s v="Beige"/>
    <x v="0"/>
    <n v="2499"/>
    <x v="2"/>
    <n v="2499"/>
  </r>
  <r>
    <n v="20"/>
    <n v="120"/>
    <d v="2026-07-11T00:00:00"/>
    <x v="19"/>
    <s v="Manish Goel"/>
    <x v="16"/>
    <x v="7"/>
    <x v="19"/>
    <x v="1"/>
    <x v="0"/>
    <s v="Brown"/>
    <x v="1"/>
    <n v="799"/>
    <x v="0"/>
    <n v="1598"/>
  </r>
  <r>
    <n v="21"/>
    <n v="121"/>
    <d v="2026-03-04T00:00:00"/>
    <x v="20"/>
    <s v="Sahil Khanna"/>
    <x v="17"/>
    <x v="2"/>
    <x v="0"/>
    <x v="0"/>
    <x v="1"/>
    <s v="Black"/>
    <x v="0"/>
    <n v="1599"/>
    <x v="3"/>
    <n v="1599"/>
  </r>
  <r>
    <n v="22"/>
    <n v="122"/>
    <s v="16-08-2026"/>
    <x v="21"/>
    <s v="Rajat Mittal"/>
    <x v="18"/>
    <x v="5"/>
    <x v="1"/>
    <x v="1"/>
    <x v="2"/>
    <s v="White"/>
    <x v="1"/>
    <n v="1999"/>
    <x v="4"/>
    <n v="3998"/>
  </r>
  <r>
    <n v="23"/>
    <n v="123"/>
    <s v="27-06-2026"/>
    <x v="22"/>
    <s v="Akash Yadav"/>
    <x v="19"/>
    <x v="6"/>
    <x v="2"/>
    <x v="0"/>
    <x v="0"/>
    <s v="Blue"/>
    <x v="2"/>
    <n v="1299"/>
    <x v="0"/>
    <n v="3897"/>
  </r>
  <r>
    <n v="24"/>
    <n v="124"/>
    <s v="18-10-2026"/>
    <x v="23"/>
    <s v="Vikas Sharma"/>
    <x v="20"/>
    <x v="1"/>
    <x v="3"/>
    <x v="1"/>
    <x v="3"/>
    <s v="Grey"/>
    <x v="0"/>
    <n v="3499"/>
    <x v="1"/>
    <n v="3499"/>
  </r>
  <r>
    <n v="25"/>
    <n v="125"/>
    <d v="2026-12-01T00:00:00"/>
    <x v="8"/>
    <s v="Abhishek Gupta"/>
    <x v="21"/>
    <x v="4"/>
    <x v="4"/>
    <x v="0"/>
    <x v="1"/>
    <s v="Red"/>
    <x v="0"/>
    <n v="899"/>
    <x v="2"/>
    <n v="899"/>
  </r>
  <r>
    <n v="26"/>
    <n v="126"/>
    <s v="31-07-2026"/>
    <x v="6"/>
    <s v="Deepak Verma"/>
    <x v="22"/>
    <x v="3"/>
    <x v="5"/>
    <x v="1"/>
    <x v="4"/>
    <s v="Yellow"/>
    <x v="1"/>
    <n v="2199"/>
    <x v="5"/>
    <n v="4398"/>
  </r>
  <r>
    <n v="27"/>
    <n v="127"/>
    <d v="2026-08-03T00:00:00"/>
    <x v="24"/>
    <s v="Sumit Mehta"/>
    <x v="23"/>
    <x v="8"/>
    <x v="6"/>
    <x v="0"/>
    <x v="0"/>
    <s v="Pink"/>
    <x v="0"/>
    <n v="1499"/>
    <x v="0"/>
    <n v="1499"/>
  </r>
  <r>
    <n v="28"/>
    <n v="128"/>
    <s v="14-12-2026"/>
    <x v="4"/>
    <s v="Amit Kumar"/>
    <x v="24"/>
    <x v="0"/>
    <x v="7"/>
    <x v="1"/>
    <x v="1"/>
    <s v="Navy Blue"/>
    <x v="2"/>
    <n v="2799"/>
    <x v="3"/>
    <n v="8397"/>
  </r>
  <r>
    <n v="29"/>
    <n v="129"/>
    <d v="2026-02-05T00:00:00"/>
    <x v="11"/>
    <s v="Ravi Singh"/>
    <x v="25"/>
    <x v="2"/>
    <x v="8"/>
    <x v="1"/>
    <x v="3"/>
    <s v="Maroon"/>
    <x v="1"/>
    <n v="999"/>
    <x v="1"/>
    <n v="1998"/>
  </r>
  <r>
    <n v="30"/>
    <n v="130"/>
    <s v="25-09-2026"/>
    <x v="12"/>
    <s v="Naveen Malhotra"/>
    <x v="26"/>
    <x v="7"/>
    <x v="9"/>
    <x v="1"/>
    <x v="2"/>
    <s v="Green"/>
    <x v="0"/>
    <n v="1699"/>
    <x v="4"/>
    <n v="1699"/>
  </r>
  <r>
    <n v="31"/>
    <n v="131"/>
    <s v="16-02-2026"/>
    <x v="25"/>
    <s v="Piyush Joshi"/>
    <x v="27"/>
    <x v="5"/>
    <x v="10"/>
    <x v="0"/>
    <x v="0"/>
    <s v="Black"/>
    <x v="1"/>
    <n v="699"/>
    <x v="2"/>
    <n v="1398"/>
  </r>
  <r>
    <n v="32"/>
    <n v="132"/>
    <s v="29-11-2026"/>
    <x v="14"/>
    <s v="Harsh Kapoor"/>
    <x v="28"/>
    <x v="6"/>
    <x v="11"/>
    <x v="1"/>
    <x v="1"/>
    <s v="White"/>
    <x v="0"/>
    <n v="2399"/>
    <x v="0"/>
    <n v="2399"/>
  </r>
  <r>
    <n v="33"/>
    <n v="133"/>
    <s v="21-04-2026"/>
    <x v="26"/>
    <s v="Tarun Khan"/>
    <x v="29"/>
    <x v="3"/>
    <x v="12"/>
    <x v="0"/>
    <x v="2"/>
    <s v="Sky Blue"/>
    <x v="3"/>
    <n v="1199"/>
    <x v="5"/>
    <n v="4796"/>
  </r>
  <r>
    <n v="34"/>
    <n v="134"/>
    <d v="2026-07-08T00:00:00"/>
    <x v="1"/>
    <s v="Gaurav Agarwal"/>
    <x v="30"/>
    <x v="1"/>
    <x v="13"/>
    <x v="1"/>
    <x v="3"/>
    <s v="Dark Blue"/>
    <x v="0"/>
    <n v="1899"/>
    <x v="1"/>
    <n v="1899"/>
  </r>
  <r>
    <n v="35"/>
    <n v="135"/>
    <s v="19-06-2026"/>
    <x v="15"/>
    <s v="Saurabh Bansal"/>
    <x v="31"/>
    <x v="4"/>
    <x v="14"/>
    <x v="0"/>
    <x v="0"/>
    <s v="Purple"/>
    <x v="1"/>
    <n v="799"/>
    <x v="3"/>
    <n v="1598"/>
  </r>
  <r>
    <n v="36"/>
    <n v="136"/>
    <d v="2026-11-10T00:00:00"/>
    <x v="9"/>
    <s v="Manav Thakur"/>
    <x v="32"/>
    <x v="8"/>
    <x v="15"/>
    <x v="1"/>
    <x v="4"/>
    <s v="Red"/>
    <x v="2"/>
    <n v="2499"/>
    <x v="0"/>
    <n v="7497"/>
  </r>
  <r>
    <n v="37"/>
    <n v="137"/>
    <s v="30-01-2026"/>
    <x v="27"/>
    <s v="Rishabh Saini"/>
    <x v="33"/>
    <x v="0"/>
    <x v="16"/>
    <x v="0"/>
    <x v="1"/>
    <s v="Pink"/>
    <x v="0"/>
    <n v="1399"/>
    <x v="2"/>
    <n v="1399"/>
  </r>
  <r>
    <n v="38"/>
    <n v="138"/>
    <s v="15-07-2026"/>
    <x v="18"/>
    <s v="Ayush Arora"/>
    <x v="34"/>
    <x v="7"/>
    <x v="17"/>
    <x v="1"/>
    <x v="0"/>
    <s v="Grey"/>
    <x v="1"/>
    <n v="2999"/>
    <x v="4"/>
    <n v="5998"/>
  </r>
  <r>
    <n v="39"/>
    <n v="139"/>
    <s v="24-03-2026"/>
    <x v="7"/>
    <s v="Shubham Chawla"/>
    <x v="35"/>
    <x v="2"/>
    <x v="18"/>
    <x v="0"/>
    <x v="3"/>
    <s v="Beige"/>
    <x v="0"/>
    <n v="999"/>
    <x v="1"/>
    <n v="999"/>
  </r>
  <r>
    <n v="40"/>
    <n v="140"/>
    <d v="2026-02-12T00:00:00"/>
    <x v="3"/>
    <s v="Vivek Tiwari"/>
    <x v="36"/>
    <x v="6"/>
    <x v="19"/>
    <x v="1"/>
    <x v="2"/>
    <s v="Brown"/>
    <x v="0"/>
    <n v="1799"/>
    <x v="0"/>
    <n v="1799"/>
  </r>
  <r>
    <n v="41"/>
    <n v="141"/>
    <s v="19-05-2026"/>
    <x v="2"/>
    <s v="Pranav Jain"/>
    <x v="37"/>
    <x v="5"/>
    <x v="0"/>
    <x v="0"/>
    <x v="1"/>
    <s v="Black"/>
    <x v="1"/>
    <n v="699"/>
    <x v="3"/>
    <n v="1398"/>
  </r>
  <r>
    <n v="42"/>
    <n v="142"/>
    <d v="2026-12-09T00:00:00"/>
    <x v="16"/>
    <s v="Ritesh Saxena"/>
    <x v="38"/>
    <x v="1"/>
    <x v="1"/>
    <x v="1"/>
    <x v="0"/>
    <s v="Blue"/>
    <x v="2"/>
    <n v="2199"/>
    <x v="5"/>
    <n v="6597"/>
  </r>
  <r>
    <n v="43"/>
    <n v="143"/>
    <d v="2026-05-02T00:00:00"/>
    <x v="22"/>
    <s v="Sachin Goel"/>
    <x v="39"/>
    <x v="3"/>
    <x v="2"/>
    <x v="0"/>
    <x v="4"/>
    <s v="White"/>
    <x v="0"/>
    <n v="1599"/>
    <x v="2"/>
    <n v="1599"/>
  </r>
  <r>
    <n v="44"/>
    <n v="144"/>
    <s v="18-11-2026"/>
    <x v="8"/>
    <s v="Varun Khanna"/>
    <x v="40"/>
    <x v="4"/>
    <x v="3"/>
    <x v="1"/>
    <x v="3"/>
    <s v="Green"/>
    <x v="1"/>
    <n v="2899"/>
    <x v="1"/>
    <n v="5798"/>
  </r>
  <r>
    <n v="45"/>
    <n v="145"/>
    <d v="2026-09-04T00:00:00"/>
    <x v="23"/>
    <s v="Rohit Mittal"/>
    <x v="41"/>
    <x v="8"/>
    <x v="4"/>
    <x v="0"/>
    <x v="1"/>
    <s v="Red"/>
    <x v="0"/>
    <n v="1199"/>
    <x v="0"/>
    <n v="1199"/>
  </r>
  <r>
    <n v="46"/>
    <n v="146"/>
    <s v="28-08-2026"/>
    <x v="21"/>
    <s v="Anurag Yadav"/>
    <x v="42"/>
    <x v="0"/>
    <x v="5"/>
    <x v="1"/>
    <x v="2"/>
    <s v="Navy Blue"/>
    <x v="2"/>
    <n v="1999"/>
    <x v="4"/>
    <n v="5997"/>
  </r>
  <r>
    <n v="47"/>
    <n v="147"/>
    <d v="2026-03-06T00:00:00"/>
    <x v="4"/>
    <s v="Karan Sharma"/>
    <x v="43"/>
    <x v="2"/>
    <x v="6"/>
    <x v="0"/>
    <x v="0"/>
    <s v="Yellow"/>
    <x v="1"/>
    <n v="899"/>
    <x v="3"/>
    <n v="1798"/>
  </r>
  <r>
    <n v="48"/>
    <n v="148"/>
    <s v="26-10-2026"/>
    <x v="0"/>
    <s v="Dev Gupta"/>
    <x v="44"/>
    <x v="5"/>
    <x v="7"/>
    <x v="1"/>
    <x v="1"/>
    <s v="Pink"/>
    <x v="0"/>
    <n v="3299"/>
    <x v="0"/>
    <n v="3299"/>
  </r>
  <r>
    <n v="49"/>
    <n v="149"/>
    <s v="18-01-2026"/>
    <x v="17"/>
    <s v="Mukul Verma"/>
    <x v="45"/>
    <x v="7"/>
    <x v="8"/>
    <x v="0"/>
    <x v="3"/>
    <s v="Maroon"/>
    <x v="3"/>
    <n v="1499"/>
    <x v="1"/>
    <n v="5996"/>
  </r>
  <r>
    <n v="50"/>
    <n v="150"/>
    <d v="2026-04-07T00:00:00"/>
    <x v="5"/>
    <s v="Siddharth Mehta"/>
    <x v="46"/>
    <x v="6"/>
    <x v="9"/>
    <x v="1"/>
    <x v="0"/>
    <s v="Grey"/>
    <x v="0"/>
    <n v="2599"/>
    <x v="5"/>
    <n v="2599"/>
  </r>
  <r>
    <n v="51"/>
    <n v="151"/>
    <s v="13-03-2026"/>
    <x v="12"/>
    <s v="Raj Kumar"/>
    <x v="47"/>
    <x v="1"/>
    <x v="10"/>
    <x v="0"/>
    <x v="2"/>
    <s v="Black"/>
    <x v="1"/>
    <n v="799"/>
    <x v="2"/>
    <n v="1598"/>
  </r>
  <r>
    <n v="52"/>
    <n v="152"/>
    <s v="27-12-2026"/>
    <x v="11"/>
    <s v="Aman Singh"/>
    <x v="48"/>
    <x v="4"/>
    <x v="11"/>
    <x v="1"/>
    <x v="4"/>
    <s v="White"/>
    <x v="0"/>
    <n v="1899"/>
    <x v="0"/>
    <n v="1899"/>
  </r>
  <r>
    <n v="53"/>
    <n v="153"/>
    <d v="2026-07-05T00:00:00"/>
    <x v="6"/>
    <s v="Himanshu Malhotra"/>
    <x v="49"/>
    <x v="3"/>
    <x v="12"/>
    <x v="0"/>
    <x v="1"/>
    <s v="Blue"/>
    <x v="2"/>
    <n v="1299"/>
    <x v="3"/>
    <n v="3897"/>
  </r>
  <r>
    <n v="54"/>
    <n v="154"/>
    <s v="30-09-2026"/>
    <x v="13"/>
    <s v="Akshay Joshi"/>
    <x v="50"/>
    <x v="8"/>
    <x v="13"/>
    <x v="1"/>
    <x v="0"/>
    <s v="Purple"/>
    <x v="1"/>
    <n v="3499"/>
    <x v="4"/>
    <n v="6998"/>
  </r>
  <r>
    <n v="55"/>
    <n v="155"/>
    <s v="28-02-2026"/>
    <x v="18"/>
    <s v="Nitin Kapoor"/>
    <x v="51"/>
    <x v="0"/>
    <x v="14"/>
    <x v="0"/>
    <x v="3"/>
    <s v="Red"/>
    <x v="0"/>
    <n v="999"/>
    <x v="1"/>
    <n v="999"/>
  </r>
  <r>
    <n v="56"/>
    <n v="156"/>
    <d v="2026-03-11T00:00:00"/>
    <x v="24"/>
    <s v="Jatin Khan"/>
    <x v="52"/>
    <x v="7"/>
    <x v="15"/>
    <x v="1"/>
    <x v="2"/>
    <s v="Green"/>
    <x v="1"/>
    <n v="2299"/>
    <x v="0"/>
    <n v="4598"/>
  </r>
  <r>
    <n v="57"/>
    <n v="157"/>
    <s v="17-04-2026"/>
    <x v="20"/>
    <s v="Lokesh Agarwal"/>
    <x v="53"/>
    <x v="2"/>
    <x v="16"/>
    <x v="0"/>
    <x v="1"/>
    <s v="Beige"/>
    <x v="0"/>
    <n v="1599"/>
    <x v="2"/>
    <n v="1599"/>
  </r>
  <r>
    <n v="58"/>
    <n v="158"/>
    <d v="2026-12-08T00:00:00"/>
    <x v="19"/>
    <s v="Mayank Bansal"/>
    <x v="17"/>
    <x v="5"/>
    <x v="17"/>
    <x v="1"/>
    <x v="0"/>
    <s v="Brown"/>
    <x v="2"/>
    <n v="2799"/>
    <x v="5"/>
    <n v="8397"/>
  </r>
  <r>
    <n v="59"/>
    <n v="159"/>
    <s v="24-06-2026"/>
    <x v="1"/>
    <s v="Nikhil Thakur"/>
    <x v="54"/>
    <x v="6"/>
    <x v="18"/>
    <x v="0"/>
    <x v="3"/>
    <s v="Navy Blue"/>
    <x v="0"/>
    <n v="699"/>
    <x v="0"/>
    <n v="699"/>
  </r>
  <r>
    <n v="60"/>
    <n v="160"/>
    <d v="2026-08-10T00:00:00"/>
    <x v="15"/>
    <s v="Suresh Saini"/>
    <x v="55"/>
    <x v="3"/>
    <x v="19"/>
    <x v="1"/>
    <x v="4"/>
    <s v="Pink"/>
    <x v="1"/>
    <n v="1999"/>
    <x v="1"/>
    <n v="3998"/>
  </r>
  <r>
    <n v="61"/>
    <n v="161"/>
    <d v="2026-07-01T00:00:00"/>
    <x v="26"/>
    <s v="Ramesh Arora"/>
    <x v="56"/>
    <x v="1"/>
    <x v="0"/>
    <x v="0"/>
    <x v="0"/>
    <s v="Black"/>
    <x v="0"/>
    <n v="1199"/>
    <x v="3"/>
    <n v="1199"/>
  </r>
  <r>
    <n v="62"/>
    <n v="162"/>
    <s v="26-07-2026"/>
    <x v="14"/>
    <s v="Dinesh Chawla"/>
    <x v="57"/>
    <x v="4"/>
    <x v="1"/>
    <x v="1"/>
    <x v="1"/>
    <s v="White"/>
    <x v="3"/>
    <n v="2499"/>
    <x v="2"/>
    <n v="9996"/>
  </r>
  <r>
    <n v="63"/>
    <n v="163"/>
    <d v="2026-02-03T00:00:00"/>
    <x v="4"/>
    <s v="Pankaj Tiwari"/>
    <x v="58"/>
    <x v="8"/>
    <x v="2"/>
    <x v="0"/>
    <x v="2"/>
    <s v="Sky Blue"/>
    <x v="1"/>
    <n v="899"/>
    <x v="4"/>
    <n v="1798"/>
  </r>
  <r>
    <n v="64"/>
    <n v="164"/>
    <s v="19-12-2026"/>
    <x v="7"/>
    <s v="Vijay Jain"/>
    <x v="59"/>
    <x v="0"/>
    <x v="3"/>
    <x v="1"/>
    <x v="3"/>
    <s v="Grey"/>
    <x v="0"/>
    <n v="2999"/>
    <x v="0"/>
    <n v="2999"/>
  </r>
  <r>
    <n v="65"/>
    <n v="165"/>
    <s v="23-05-2026"/>
    <x v="16"/>
    <s v="Ajay Saxena"/>
    <x v="60"/>
    <x v="2"/>
    <x v="4"/>
    <x v="0"/>
    <x v="0"/>
    <s v="Dark Blue"/>
    <x v="2"/>
    <n v="1399"/>
    <x v="5"/>
    <n v="4197"/>
  </r>
  <r>
    <n v="66"/>
    <n v="166"/>
    <d v="2026-08-09T00:00:00"/>
    <x v="25"/>
    <s v="Rakesh Goel"/>
    <x v="61"/>
    <x v="7"/>
    <x v="5"/>
    <x v="1"/>
    <x v="1"/>
    <s v="Red"/>
    <x v="0"/>
    <n v="1799"/>
    <x v="1"/>
    <n v="1799"/>
  </r>
  <r>
    <n v="67"/>
    <n v="167"/>
    <s v="13-02-2026"/>
    <x v="8"/>
    <s v="Ashish Khanna"/>
    <x v="62"/>
    <x v="6"/>
    <x v="6"/>
    <x v="0"/>
    <x v="4"/>
    <s v="Yellow"/>
    <x v="1"/>
    <n v="799"/>
    <x v="2"/>
    <n v="1598"/>
  </r>
  <r>
    <n v="68"/>
    <n v="168"/>
    <s v="24-11-2026"/>
    <x v="2"/>
    <s v="Ravi Mittal"/>
    <x v="63"/>
    <x v="5"/>
    <x v="7"/>
    <x v="1"/>
    <x v="0"/>
    <s v="Green"/>
    <x v="0"/>
    <n v="2199"/>
    <x v="0"/>
    <n v="2199"/>
  </r>
  <r>
    <n v="69"/>
    <n v="169"/>
    <s v="28-04-2026"/>
    <x v="3"/>
    <s v="Sameer Yadav"/>
    <x v="64"/>
    <x v="1"/>
    <x v="8"/>
    <x v="0"/>
    <x v="3"/>
    <s v="Maroon"/>
    <x v="1"/>
    <n v="1499"/>
    <x v="3"/>
    <n v="2998"/>
  </r>
  <r>
    <n v="70"/>
    <n v="170"/>
    <d v="2026-03-08T00:00:00"/>
    <x v="10"/>
    <s v="Varun Sharma"/>
    <x v="65"/>
    <x v="3"/>
    <x v="9"/>
    <x v="1"/>
    <x v="1"/>
    <s v="Black"/>
    <x v="2"/>
    <n v="3299"/>
    <x v="1"/>
    <n v="9897"/>
  </r>
  <r>
    <n v="71"/>
    <n v="171"/>
    <s v="15-06-2026"/>
    <x v="12"/>
    <s v="Kartik Gupta"/>
    <x v="66"/>
    <x v="4"/>
    <x v="10"/>
    <x v="0"/>
    <x v="2"/>
    <s v="Blue"/>
    <x v="0"/>
    <n v="999"/>
    <x v="4"/>
    <n v="999"/>
  </r>
  <r>
    <n v="72"/>
    <n v="172"/>
    <s v="17-10-2026"/>
    <x v="22"/>
    <s v="Harshit Verma"/>
    <x v="67"/>
    <x v="8"/>
    <x v="11"/>
    <x v="1"/>
    <x v="0"/>
    <s v="White"/>
    <x v="0"/>
    <n v="2599"/>
    <x v="0"/>
    <n v="2599"/>
  </r>
  <r>
    <n v="73"/>
    <n v="173"/>
    <s v="22-01-2026"/>
    <x v="21"/>
    <s v="Anmol Mehta"/>
    <x v="68"/>
    <x v="0"/>
    <x v="12"/>
    <x v="0"/>
    <x v="1"/>
    <s v="Pink"/>
    <x v="1"/>
    <n v="1199"/>
    <x v="2"/>
    <n v="2398"/>
  </r>
  <r>
    <n v="74"/>
    <n v="174"/>
    <d v="2026-11-07T00:00:00"/>
    <x v="18"/>
    <s v="Tushar Kumar"/>
    <x v="69"/>
    <x v="5"/>
    <x v="13"/>
    <x v="1"/>
    <x v="3"/>
    <s v="Purple"/>
    <x v="3"/>
    <n v="1899"/>
    <x v="5"/>
    <n v="7596"/>
  </r>
  <r>
    <n v="75"/>
    <n v="175"/>
    <s v="31-03-2026"/>
    <x v="9"/>
    <s v="Shivam Singh"/>
    <x v="70"/>
    <x v="2"/>
    <x v="14"/>
    <x v="0"/>
    <x v="4"/>
    <s v="Grey"/>
    <x v="0"/>
    <n v="699"/>
    <x v="1"/>
    <n v="699"/>
  </r>
  <r>
    <n v="76"/>
    <n v="176"/>
    <d v="2026-08-12T00:00:00"/>
    <x v="17"/>
    <s v="Yuvraj Malhotra"/>
    <x v="23"/>
    <x v="7"/>
    <x v="15"/>
    <x v="1"/>
    <x v="0"/>
    <s v="Red"/>
    <x v="1"/>
    <n v="2399"/>
    <x v="0"/>
    <n v="4798"/>
  </r>
  <r>
    <n v="77"/>
    <n v="177"/>
    <d v="2026-11-05T00:00:00"/>
    <x v="6"/>
    <s v="Parth Joshi"/>
    <x v="71"/>
    <x v="6"/>
    <x v="16"/>
    <x v="0"/>
    <x v="2"/>
    <s v="Beige"/>
    <x v="0"/>
    <n v="1599"/>
    <x v="3"/>
    <n v="1599"/>
  </r>
  <r>
    <n v="78"/>
    <n v="178"/>
    <s v="21-09-2026"/>
    <x v="11"/>
    <s v="Lakshay Kapoor"/>
    <x v="72"/>
    <x v="1"/>
    <x v="17"/>
    <x v="1"/>
    <x v="1"/>
    <s v="Navy Blue"/>
    <x v="2"/>
    <n v="2799"/>
    <x v="2"/>
    <n v="8397"/>
  </r>
  <r>
    <n v="79"/>
    <n v="179"/>
    <s v="24-02-2026"/>
    <x v="1"/>
    <s v="Keshav Khan"/>
    <x v="73"/>
    <x v="4"/>
    <x v="18"/>
    <x v="0"/>
    <x v="3"/>
    <s v="Green"/>
    <x v="1"/>
    <n v="899"/>
    <x v="0"/>
    <n v="1798"/>
  </r>
  <r>
    <n v="80"/>
    <n v="180"/>
    <d v="2026-12-11T00:00:00"/>
    <x v="27"/>
    <s v="Akhil Agarwal"/>
    <x v="63"/>
    <x v="3"/>
    <x v="19"/>
    <x v="1"/>
    <x v="0"/>
    <s v="Black"/>
    <x v="0"/>
    <n v="1999"/>
    <x v="4"/>
    <n v="1999"/>
  </r>
  <r>
    <n v="81"/>
    <n v="181"/>
    <d v="2026-06-04T00:00:00"/>
    <x v="15"/>
    <s v="Chirag Bansal"/>
    <x v="74"/>
    <x v="8"/>
    <x v="0"/>
    <x v="0"/>
    <x v="1"/>
    <s v="White"/>
    <x v="1"/>
    <n v="1299"/>
    <x v="1"/>
    <n v="2598"/>
  </r>
  <r>
    <n v="82"/>
    <n v="182"/>
    <s v="25-08-2026"/>
    <x v="14"/>
    <s v="Devansh Thakur"/>
    <x v="75"/>
    <x v="0"/>
    <x v="1"/>
    <x v="1"/>
    <x v="2"/>
    <s v="Blue"/>
    <x v="0"/>
    <n v="3499"/>
    <x v="5"/>
    <n v="3499"/>
  </r>
  <r>
    <n v="83"/>
    <n v="183"/>
    <s v="29-06-2026"/>
    <x v="24"/>
    <s v="Naman Saini"/>
    <x v="76"/>
    <x v="2"/>
    <x v="2"/>
    <x v="0"/>
    <x v="0"/>
    <s v="Red"/>
    <x v="2"/>
    <n v="799"/>
    <x v="0"/>
    <n v="2397"/>
  </r>
  <r>
    <n v="84"/>
    <n v="184"/>
    <d v="2026-02-10T00:00:00"/>
    <x v="8"/>
    <s v="Prateek Arora"/>
    <x v="0"/>
    <x v="6"/>
    <x v="3"/>
    <x v="1"/>
    <x v="4"/>
    <s v="Sky Blue"/>
    <x v="1"/>
    <n v="2299"/>
    <x v="2"/>
    <n v="4598"/>
  </r>
  <r>
    <n v="85"/>
    <n v="185"/>
    <s v="15-01-2026"/>
    <x v="5"/>
    <s v="Nakul Chawla"/>
    <x v="77"/>
    <x v="7"/>
    <x v="4"/>
    <x v="0"/>
    <x v="3"/>
    <s v="Yellow"/>
    <x v="0"/>
    <n v="1399"/>
    <x v="3"/>
    <n v="1399"/>
  </r>
  <r>
    <n v="86"/>
    <n v="186"/>
    <s v="19-07-2026"/>
    <x v="4"/>
    <s v="Atul Tiwari"/>
    <x v="33"/>
    <x v="5"/>
    <x v="5"/>
    <x v="1"/>
    <x v="1"/>
    <s v="Pink"/>
    <x v="3"/>
    <n v="2999"/>
    <x v="1"/>
    <n v="11996"/>
  </r>
  <r>
    <n v="87"/>
    <n v="187"/>
    <s v="27-03-2026"/>
    <x v="13"/>
    <s v="Sanjay Jain"/>
    <x v="78"/>
    <x v="3"/>
    <x v="6"/>
    <x v="0"/>
    <x v="0"/>
    <s v="Grey"/>
    <x v="0"/>
    <n v="999"/>
    <x v="0"/>
    <n v="999"/>
  </r>
  <r>
    <n v="88"/>
    <n v="188"/>
    <s v="23-12-2026"/>
    <x v="16"/>
    <s v="Rajesh Saxena"/>
    <x v="75"/>
    <x v="1"/>
    <x v="7"/>
    <x v="1"/>
    <x v="2"/>
    <s v="Brown"/>
    <x v="1"/>
    <n v="1899"/>
    <x v="4"/>
    <n v="3798"/>
  </r>
  <r>
    <n v="89"/>
    <n v="189"/>
    <d v="2026-05-05T00:00:00"/>
    <x v="7"/>
    <s v="Mahesh Goel"/>
    <x v="79"/>
    <x v="4"/>
    <x v="8"/>
    <x v="0"/>
    <x v="3"/>
    <s v="Maroon"/>
    <x v="0"/>
    <n v="699"/>
    <x v="2"/>
    <n v="699"/>
  </r>
  <r>
    <n v="90"/>
    <n v="190"/>
    <s v="14-09-2026"/>
    <x v="20"/>
    <s v="Vikram Khanna"/>
    <x v="80"/>
    <x v="8"/>
    <x v="9"/>
    <x v="1"/>
    <x v="1"/>
    <s v="Black"/>
    <x v="2"/>
    <n v="2499"/>
    <x v="5"/>
    <n v="7497"/>
  </r>
  <r>
    <n v="91"/>
    <n v="191"/>
    <d v="2026-07-02T00:00:00"/>
    <x v="2"/>
    <s v="Naresh Mittal"/>
    <x v="81"/>
    <x v="0"/>
    <x v="10"/>
    <x v="0"/>
    <x v="4"/>
    <s v="White"/>
    <x v="1"/>
    <n v="1199"/>
    <x v="0"/>
    <n v="2398"/>
  </r>
  <r>
    <n v="92"/>
    <n v="192"/>
    <s v="20-11-2026"/>
    <x v="12"/>
    <s v="Suraj Yadav"/>
    <x v="82"/>
    <x v="7"/>
    <x v="11"/>
    <x v="1"/>
    <x v="0"/>
    <s v="Dark Blue"/>
    <x v="0"/>
    <n v="2199"/>
    <x v="1"/>
    <n v="2199"/>
  </r>
  <r>
    <n v="93"/>
    <n v="193"/>
    <d v="2026-12-04T00:00:00"/>
    <x v="23"/>
    <s v="Rajat Sharma"/>
    <x v="2"/>
    <x v="2"/>
    <x v="12"/>
    <x v="0"/>
    <x v="2"/>
    <s v="Green"/>
    <x v="1"/>
    <n v="1599"/>
    <x v="3"/>
    <n v="3198"/>
  </r>
  <r>
    <n v="94"/>
    <n v="194"/>
    <s v="18-08-2026"/>
    <x v="11"/>
    <s v="Rohit Gupta"/>
    <x v="83"/>
    <x v="5"/>
    <x v="13"/>
    <x v="1"/>
    <x v="3"/>
    <s v="Purple"/>
    <x v="0"/>
    <n v="2799"/>
    <x v="0"/>
    <n v="2799"/>
  </r>
  <r>
    <n v="95"/>
    <n v="195"/>
    <d v="2026-08-06T00:00:00"/>
    <x v="6"/>
    <s v="Abhinav Verma"/>
    <x v="84"/>
    <x v="6"/>
    <x v="14"/>
    <x v="0"/>
    <x v="1"/>
    <s v="Red"/>
    <x v="2"/>
    <n v="899"/>
    <x v="2"/>
    <n v="2697"/>
  </r>
  <r>
    <n v="96"/>
    <n v="196"/>
    <s v="29-10-2026"/>
    <x v="26"/>
    <s v="Kushal Mehta"/>
    <x v="85"/>
    <x v="1"/>
    <x v="15"/>
    <x v="1"/>
    <x v="0"/>
    <s v="Beige"/>
    <x v="0"/>
    <n v="3299"/>
    <x v="4"/>
    <n v="3299"/>
  </r>
  <r>
    <n v="97"/>
    <n v="197"/>
    <s v="28-01-2026"/>
    <x v="18"/>
    <s v="Raghav Kumar"/>
    <x v="86"/>
    <x v="3"/>
    <x v="16"/>
    <x v="0"/>
    <x v="4"/>
    <s v="Blue"/>
    <x v="1"/>
    <n v="1299"/>
    <x v="1"/>
    <n v="2598"/>
  </r>
  <r>
    <n v="98"/>
    <n v="198"/>
    <d v="2026-02-07T00:00:00"/>
    <x v="25"/>
    <s v="Madhav Singh"/>
    <x v="87"/>
    <x v="4"/>
    <x v="17"/>
    <x v="1"/>
    <x v="2"/>
    <s v="Navy Blue"/>
    <x v="3"/>
    <n v="1999"/>
    <x v="5"/>
    <n v="7996"/>
  </r>
  <r>
    <n v="99"/>
    <n v="199"/>
    <s v="19-03-2026"/>
    <x v="3"/>
    <s v="Shrey Malhotra"/>
    <x v="88"/>
    <x v="8"/>
    <x v="18"/>
    <x v="0"/>
    <x v="0"/>
    <s v="Pink"/>
    <x v="0"/>
    <n v="799"/>
    <x v="0"/>
    <n v="799"/>
  </r>
  <r>
    <n v="100"/>
    <n v="200"/>
    <d v="2026-11-12T00:00:00"/>
    <x v="21"/>
    <s v="Aaryan Joshi"/>
    <x v="89"/>
    <x v="0"/>
    <x v="19"/>
    <x v="1"/>
    <x v="3"/>
    <s v="Black"/>
    <x v="1"/>
    <n v="2399"/>
    <x v="3"/>
    <n v="4798"/>
  </r>
  <r>
    <n v="101"/>
    <n v="201"/>
    <s v="26-05-2026"/>
    <x v="1"/>
    <s v="Vihaan Kapoor"/>
    <x v="90"/>
    <x v="2"/>
    <x v="0"/>
    <x v="0"/>
    <x v="1"/>
    <s v="White"/>
    <x v="0"/>
    <n v="1499"/>
    <x v="2"/>
    <n v="1499"/>
  </r>
  <r>
    <n v="102"/>
    <n v="202"/>
    <d v="2026-03-09T00:00:00"/>
    <x v="22"/>
    <s v="Rudra Khan"/>
    <x v="91"/>
    <x v="5"/>
    <x v="1"/>
    <x v="1"/>
    <x v="2"/>
    <s v="Grey"/>
    <x v="2"/>
    <n v="2899"/>
    <x v="1"/>
    <n v="8697"/>
  </r>
  <r>
    <n v="103"/>
    <n v="203"/>
    <s v="19-02-2026"/>
    <x v="15"/>
    <s v="Shaurya Agarwal"/>
    <x v="92"/>
    <x v="7"/>
    <x v="2"/>
    <x v="0"/>
    <x v="0"/>
    <s v="Red"/>
    <x v="1"/>
    <n v="999"/>
    <x v="0"/>
    <n v="1998"/>
  </r>
  <r>
    <n v="104"/>
    <n v="204"/>
    <d v="2026-06-11T00:00:00"/>
    <x v="0"/>
    <s v="Atharv Bansal"/>
    <x v="93"/>
    <x v="6"/>
    <x v="3"/>
    <x v="1"/>
    <x v="1"/>
    <s v="Green"/>
    <x v="0"/>
    <n v="1799"/>
    <x v="4"/>
    <n v="1799"/>
  </r>
  <r>
    <n v="105"/>
    <n v="205"/>
    <s v="24-04-2026"/>
    <x v="17"/>
    <s v="Adit Thakur"/>
    <x v="94"/>
    <x v="3"/>
    <x v="4"/>
    <x v="0"/>
    <x v="3"/>
    <s v="Yellow"/>
    <x v="1"/>
    <n v="699"/>
    <x v="5"/>
    <n v="1398"/>
  </r>
  <r>
    <n v="106"/>
    <n v="206"/>
    <d v="2026-09-08T00:00:00"/>
    <x v="8"/>
    <s v="Tanmay Saini"/>
    <x v="95"/>
    <x v="1"/>
    <x v="5"/>
    <x v="1"/>
    <x v="4"/>
    <s v="Blue"/>
    <x v="0"/>
    <n v="2599"/>
    <x v="0"/>
    <n v="2599"/>
  </r>
  <r>
    <n v="107"/>
    <n v="207"/>
    <s v="21-06-2026"/>
    <x v="19"/>
    <s v="Darsh Arora"/>
    <x v="96"/>
    <x v="4"/>
    <x v="6"/>
    <x v="0"/>
    <x v="0"/>
    <s v="Maroon"/>
    <x v="3"/>
    <n v="1199"/>
    <x v="2"/>
    <n v="4796"/>
  </r>
  <r>
    <n v="108"/>
    <n v="208"/>
    <s v="14-10-2026"/>
    <x v="16"/>
    <s v="Vedant Chawla"/>
    <x v="97"/>
    <x v="8"/>
    <x v="7"/>
    <x v="1"/>
    <x v="2"/>
    <s v="Pink"/>
    <x v="1"/>
    <n v="2299"/>
    <x v="1"/>
    <n v="4598"/>
  </r>
  <r>
    <n v="109"/>
    <n v="209"/>
    <d v="2026-10-01T00:00:00"/>
    <x v="24"/>
    <s v="Parth Tiwari"/>
    <x v="98"/>
    <x v="0"/>
    <x v="8"/>
    <x v="0"/>
    <x v="1"/>
    <s v="Black"/>
    <x v="0"/>
    <n v="1599"/>
    <x v="3"/>
    <n v="1599"/>
  </r>
  <r>
    <n v="110"/>
    <n v="210"/>
    <s v="28-07-2026"/>
    <x v="4"/>
    <s v="Abeer Jain"/>
    <x v="99"/>
    <x v="7"/>
    <x v="9"/>
    <x v="1"/>
    <x v="3"/>
    <s v="White"/>
    <x v="2"/>
    <n v="2999"/>
    <x v="0"/>
    <n v="8997"/>
  </r>
  <r>
    <n v="111"/>
    <n v="211"/>
    <d v="2026-06-03T00:00:00"/>
    <x v="5"/>
    <s v="Aarush Saxena"/>
    <x v="100"/>
    <x v="2"/>
    <x v="10"/>
    <x v="0"/>
    <x v="0"/>
    <s v="Sky Blue"/>
    <x v="0"/>
    <n v="899"/>
    <x v="4"/>
    <n v="899"/>
  </r>
  <r>
    <n v="112"/>
    <n v="212"/>
    <s v="29-12-2026"/>
    <x v="14"/>
    <s v="Rehaan Goel"/>
    <x v="101"/>
    <x v="6"/>
    <x v="11"/>
    <x v="1"/>
    <x v="1"/>
    <s v="Purple"/>
    <x v="1"/>
    <n v="1999"/>
    <x v="2"/>
    <n v="3998"/>
  </r>
  <r>
    <n v="113"/>
    <n v="213"/>
    <s v="17-05-2026"/>
    <x v="13"/>
    <s v="Arnav Khanna"/>
    <x v="28"/>
    <x v="5"/>
    <x v="12"/>
    <x v="0"/>
    <x v="4"/>
    <s v="Red"/>
    <x v="0"/>
    <n v="1299"/>
    <x v="5"/>
    <n v="1299"/>
  </r>
  <r>
    <n v="114"/>
    <n v="214"/>
    <s v="27-09-2026"/>
    <x v="11"/>
    <s v="Dhruv Mittal"/>
    <x v="102"/>
    <x v="1"/>
    <x v="13"/>
    <x v="1"/>
    <x v="2"/>
    <s v="Navy Blue"/>
    <x v="2"/>
    <n v="3499"/>
    <x v="1"/>
    <n v="10497"/>
  </r>
  <r>
    <n v="115"/>
    <n v="215"/>
    <d v="2026-02-02T00:00:00"/>
    <x v="12"/>
    <s v="Ritvik Yadav"/>
    <x v="103"/>
    <x v="3"/>
    <x v="14"/>
    <x v="0"/>
    <x v="0"/>
    <s v="Green"/>
    <x v="1"/>
    <n v="799"/>
    <x v="0"/>
    <n v="1598"/>
  </r>
  <r>
    <n v="116"/>
    <n v="216"/>
    <s v="15-11-2026"/>
    <x v="7"/>
    <s v="Advait Sharma"/>
    <x v="104"/>
    <x v="4"/>
    <x v="15"/>
    <x v="1"/>
    <x v="3"/>
    <s v="Grey"/>
    <x v="0"/>
    <n v="2199"/>
    <x v="3"/>
    <n v="2199"/>
  </r>
  <r>
    <n v="117"/>
    <n v="217"/>
    <d v="2026-01-04T00:00:00"/>
    <x v="20"/>
    <s v="Avi Gupta"/>
    <x v="105"/>
    <x v="8"/>
    <x v="16"/>
    <x v="0"/>
    <x v="1"/>
    <s v="Beige"/>
    <x v="1"/>
    <n v="1399"/>
    <x v="2"/>
    <n v="2798"/>
  </r>
  <r>
    <n v="118"/>
    <n v="218"/>
    <s v="22-08-2026"/>
    <x v="27"/>
    <s v="Riaan Verma"/>
    <x v="106"/>
    <x v="0"/>
    <x v="17"/>
    <x v="1"/>
    <x v="0"/>
    <s v="Brown"/>
    <x v="0"/>
    <n v="2799"/>
    <x v="0"/>
    <n v="2799"/>
  </r>
  <r>
    <n v="119"/>
    <n v="219"/>
    <s v="13-06-2026"/>
    <x v="18"/>
    <s v="Neil Mehta"/>
    <x v="107"/>
    <x v="2"/>
    <x v="18"/>
    <x v="0"/>
    <x v="2"/>
    <s v="Black"/>
    <x v="3"/>
    <n v="999"/>
    <x v="1"/>
    <n v="3996"/>
  </r>
  <r>
    <n v="120"/>
    <n v="220"/>
    <s v="21-10-2026"/>
    <x v="2"/>
    <s v="Kabir Kumar"/>
    <x v="108"/>
    <x v="7"/>
    <x v="19"/>
    <x v="1"/>
    <x v="4"/>
    <s v="Blue"/>
    <x v="0"/>
    <n v="1899"/>
    <x v="4"/>
    <n v="1899"/>
  </r>
  <r>
    <n v="121"/>
    <n v="221"/>
    <s v="24-01-2026"/>
    <x v="6"/>
    <s v="Rudransh Singh"/>
    <x v="109"/>
    <x v="5"/>
    <x v="0"/>
    <x v="0"/>
    <x v="3"/>
    <s v="White"/>
    <x v="1"/>
    <n v="699"/>
    <x v="5"/>
    <n v="1398"/>
  </r>
  <r>
    <n v="122"/>
    <n v="222"/>
    <d v="2026-07-07T00:00:00"/>
    <x v="22"/>
    <s v="Aayush Malhotra"/>
    <x v="1"/>
    <x v="6"/>
    <x v="1"/>
    <x v="1"/>
    <x v="1"/>
    <s v="Pink"/>
    <x v="2"/>
    <n v="2499"/>
    <x v="0"/>
    <n v="7497"/>
  </r>
  <r>
    <n v="123"/>
    <n v="223"/>
    <s v="16-03-2026"/>
    <x v="8"/>
    <s v="Kiaan Joshi"/>
    <x v="6"/>
    <x v="1"/>
    <x v="2"/>
    <x v="0"/>
    <x v="0"/>
    <s v="Red"/>
    <x v="0"/>
    <n v="1199"/>
    <x v="3"/>
    <n v="1199"/>
  </r>
  <r>
    <n v="124"/>
    <n v="224"/>
    <d v="2026-04-12T00:00:00"/>
    <x v="10"/>
    <s v="Veer Kapoor"/>
    <x v="10"/>
    <x v="4"/>
    <x v="3"/>
    <x v="1"/>
    <x v="2"/>
    <s v="Dark Blue"/>
    <x v="1"/>
    <n v="2299"/>
    <x v="2"/>
    <n v="4598"/>
  </r>
  <r>
    <n v="125"/>
    <n v="225"/>
    <s v="30-05-2026"/>
    <x v="15"/>
    <s v="Krish Khan"/>
    <x v="24"/>
    <x v="3"/>
    <x v="4"/>
    <x v="0"/>
    <x v="3"/>
    <s v="Yellow"/>
    <x v="0"/>
    <n v="1599"/>
    <x v="1"/>
    <n v="1599"/>
  </r>
  <r>
    <n v="126"/>
    <n v="226"/>
    <d v="2026-11-09T00:00:00"/>
    <x v="3"/>
    <s v="Aarav Agarwal"/>
    <x v="110"/>
    <x v="8"/>
    <x v="5"/>
    <x v="1"/>
    <x v="1"/>
    <s v="Green"/>
    <x v="2"/>
    <n v="2999"/>
    <x v="0"/>
    <n v="8997"/>
  </r>
  <r>
    <n v="127"/>
    <n v="227"/>
    <s v="26-02-2026"/>
    <x v="17"/>
    <s v="Vihaan Bansal"/>
    <x v="111"/>
    <x v="0"/>
    <x v="6"/>
    <x v="0"/>
    <x v="4"/>
    <s v="Maroon"/>
    <x v="1"/>
    <n v="899"/>
    <x v="4"/>
    <n v="1798"/>
  </r>
  <r>
    <n v="128"/>
    <n v="228"/>
    <d v="2026-02-11T00:00:00"/>
    <x v="1"/>
    <s v="Vivaan Thakur"/>
    <x v="112"/>
    <x v="7"/>
    <x v="7"/>
    <x v="1"/>
    <x v="0"/>
    <s v="Grey"/>
    <x v="0"/>
    <n v="1999"/>
    <x v="5"/>
    <n v="1999"/>
  </r>
  <r>
    <n v="129"/>
    <n v="229"/>
    <s v="19-04-2026"/>
    <x v="25"/>
    <s v="Ivaan Saini"/>
    <x v="113"/>
    <x v="2"/>
    <x v="8"/>
    <x v="0"/>
    <x v="2"/>
    <s v="Black"/>
    <x v="1"/>
    <n v="1299"/>
    <x v="0"/>
    <n v="2598"/>
  </r>
  <r>
    <n v="130"/>
    <n v="230"/>
    <s v="14-08-2026"/>
    <x v="4"/>
    <s v="Arham Arora"/>
    <x v="114"/>
    <x v="5"/>
    <x v="9"/>
    <x v="1"/>
    <x v="1"/>
    <s v="White"/>
    <x v="0"/>
    <n v="3499"/>
    <x v="2"/>
    <n v="3499"/>
  </r>
  <r>
    <n v="131"/>
    <n v="231"/>
    <d v="2026-06-06T00:00:00"/>
    <x v="21"/>
    <s v="Zayan Chawla"/>
    <x v="115"/>
    <x v="6"/>
    <x v="10"/>
    <x v="0"/>
    <x v="3"/>
    <s v="Blue"/>
    <x v="3"/>
    <n v="799"/>
    <x v="3"/>
    <n v="3196"/>
  </r>
  <r>
    <n v="132"/>
    <n v="232"/>
    <d v="2026-09-10T00:00:00"/>
    <x v="9"/>
    <s v="Rayyan Tiwari"/>
    <x v="5"/>
    <x v="3"/>
    <x v="11"/>
    <x v="1"/>
    <x v="0"/>
    <s v="Purple"/>
    <x v="1"/>
    <n v="2399"/>
    <x v="1"/>
    <n v="4798"/>
  </r>
  <r>
    <n v="133"/>
    <n v="233"/>
    <d v="2026-05-01T00:00:00"/>
    <x v="26"/>
    <s v="Reyansh Jain"/>
    <x v="116"/>
    <x v="1"/>
    <x v="12"/>
    <x v="0"/>
    <x v="1"/>
    <s v="Pink"/>
    <x v="0"/>
    <n v="1499"/>
    <x v="0"/>
    <n v="1499"/>
  </r>
  <r>
    <n v="134"/>
    <n v="234"/>
    <s v="24-07-2026"/>
    <x v="16"/>
    <s v="Ahaan Saxena"/>
    <x v="117"/>
    <x v="4"/>
    <x v="13"/>
    <x v="1"/>
    <x v="2"/>
    <s v="Red"/>
    <x v="2"/>
    <n v="2799"/>
    <x v="4"/>
    <n v="8397"/>
  </r>
  <r>
    <n v="135"/>
    <n v="235"/>
    <d v="2026-11-03T00:00:00"/>
    <x v="19"/>
    <s v="Aarush Goel"/>
    <x v="118"/>
    <x v="8"/>
    <x v="14"/>
    <x v="0"/>
    <x v="4"/>
    <s v="Navy Blue"/>
    <x v="0"/>
    <n v="999"/>
    <x v="2"/>
    <n v="999"/>
  </r>
  <r>
    <n v="136"/>
    <n v="236"/>
    <s v="16-12-2026"/>
    <x v="11"/>
    <s v="Atharv Khanna"/>
    <x v="119"/>
    <x v="0"/>
    <x v="15"/>
    <x v="1"/>
    <x v="0"/>
    <s v="Beige"/>
    <x v="1"/>
    <n v="1899"/>
    <x v="5"/>
    <n v="3798"/>
  </r>
  <r>
    <n v="137"/>
    <n v="237"/>
    <d v="2026-09-05T00:00:00"/>
    <x v="18"/>
    <s v="Ansh Mittal"/>
    <x v="120"/>
    <x v="2"/>
    <x v="16"/>
    <x v="0"/>
    <x v="3"/>
    <s v="Green"/>
    <x v="0"/>
    <n v="699"/>
    <x v="0"/>
    <n v="699"/>
  </r>
  <r>
    <n v="138"/>
    <n v="238"/>
    <s v="23-09-2026"/>
    <x v="7"/>
    <s v="Anshul Yadav"/>
    <x v="121"/>
    <x v="6"/>
    <x v="17"/>
    <x v="1"/>
    <x v="1"/>
    <s v="Black"/>
    <x v="2"/>
    <n v="2599"/>
    <x v="1"/>
    <n v="7797"/>
  </r>
  <r>
    <n v="139"/>
    <n v="239"/>
    <d v="2026-11-02T00:00:00"/>
    <x v="14"/>
    <s v="Harsh Sharma"/>
    <x v="122"/>
    <x v="7"/>
    <x v="18"/>
    <x v="0"/>
    <x v="2"/>
    <s v="White"/>
    <x v="1"/>
    <n v="1199"/>
    <x v="3"/>
    <n v="2398"/>
  </r>
  <r>
    <n v="140"/>
    <n v="240"/>
    <s v="27-11-2026"/>
    <x v="22"/>
    <s v="Hritik Gupta"/>
    <x v="26"/>
    <x v="5"/>
    <x v="19"/>
    <x v="1"/>
    <x v="0"/>
    <s v="Sky Blue"/>
    <x v="0"/>
    <n v="2199"/>
    <x v="2"/>
    <n v="2199"/>
  </r>
  <r>
    <n v="141"/>
    <n v="241"/>
    <d v="2026-07-04T00:00:00"/>
    <x v="12"/>
    <s v="Karan Verma"/>
    <x v="123"/>
    <x v="1"/>
    <x v="0"/>
    <x v="0"/>
    <x v="1"/>
    <s v="Grey"/>
    <x v="1"/>
    <n v="1599"/>
    <x v="0"/>
    <n v="3198"/>
  </r>
  <r>
    <n v="142"/>
    <n v="242"/>
    <s v="30-08-2026"/>
    <x v="23"/>
    <s v="Manav Mehta"/>
    <x v="124"/>
    <x v="3"/>
    <x v="1"/>
    <x v="1"/>
    <x v="3"/>
    <s v="Dark Blue"/>
    <x v="0"/>
    <n v="2999"/>
    <x v="4"/>
    <n v="2999"/>
  </r>
  <r>
    <n v="143"/>
    <n v="243"/>
    <s v="18-06-2026"/>
    <x v="15"/>
    <s v="Rishit Kumar"/>
    <x v="125"/>
    <x v="4"/>
    <x v="2"/>
    <x v="0"/>
    <x v="4"/>
    <s v="Red"/>
    <x v="3"/>
    <n v="899"/>
    <x v="1"/>
    <n v="3596"/>
  </r>
  <r>
    <n v="144"/>
    <n v="244"/>
    <d v="2026-05-10T00:00:00"/>
    <x v="24"/>
    <s v="Rishabh Singh"/>
    <x v="126"/>
    <x v="8"/>
    <x v="3"/>
    <x v="1"/>
    <x v="0"/>
    <s v="Yellow"/>
    <x v="0"/>
    <n v="1999"/>
    <x v="5"/>
    <n v="1999"/>
  </r>
  <r>
    <n v="145"/>
    <n v="245"/>
    <s v="20-01-2026"/>
    <x v="3"/>
    <s v="Shiv Malhotra"/>
    <x v="127"/>
    <x v="0"/>
    <x v="4"/>
    <x v="0"/>
    <x v="2"/>
    <s v="Pink"/>
    <x v="1"/>
    <n v="1299"/>
    <x v="0"/>
    <n v="2598"/>
  </r>
  <r>
    <n v="146"/>
    <n v="246"/>
    <s v="13-07-2026"/>
    <x v="13"/>
    <s v="Shivansh Joshi"/>
    <x v="13"/>
    <x v="5"/>
    <x v="5"/>
    <x v="1"/>
    <x v="1"/>
    <s v="Brown"/>
    <x v="2"/>
    <n v="3499"/>
    <x v="2"/>
    <n v="10497"/>
  </r>
  <r>
    <n v="147"/>
    <n v="247"/>
    <s v="25-03-2026"/>
    <x v="8"/>
    <s v="Aayush Kapoor"/>
    <x v="128"/>
    <x v="2"/>
    <x v="6"/>
    <x v="0"/>
    <x v="3"/>
    <s v="Maroon"/>
    <x v="0"/>
    <n v="799"/>
    <x v="3"/>
    <n v="799"/>
  </r>
  <r>
    <n v="148"/>
    <n v="248"/>
    <d v="2026-09-12T00:00:00"/>
    <x v="5"/>
    <s v="Ayansh Khan"/>
    <x v="129"/>
    <x v="7"/>
    <x v="7"/>
    <x v="1"/>
    <x v="0"/>
    <s v="Black"/>
    <x v="1"/>
    <n v="2299"/>
    <x v="1"/>
    <n v="4598"/>
  </r>
  <r>
    <n v="149"/>
    <n v="249"/>
    <s v="21-05-2026"/>
    <x v="6"/>
    <s v="Divyansh Agarwal"/>
    <x v="130"/>
    <x v="6"/>
    <x v="8"/>
    <x v="0"/>
    <x v="1"/>
    <s v="Blue"/>
    <x v="0"/>
    <n v="1399"/>
    <x v="0"/>
    <n v="1399"/>
  </r>
  <r>
    <n v="150"/>
    <n v="250"/>
    <d v="2026-05-09T00:00:00"/>
    <x v="2"/>
    <s v="Divit Bansal"/>
    <x v="131"/>
    <x v="1"/>
    <x v="9"/>
    <x v="1"/>
    <x v="2"/>
    <s v="White"/>
    <x v="2"/>
    <n v="2799"/>
    <x v="4"/>
    <n v="8397"/>
  </r>
  <r>
    <n v="151"/>
    <n v="251"/>
    <s v="21-02-2026"/>
    <x v="4"/>
    <s v="Yash Thakur"/>
    <x v="132"/>
    <x v="4"/>
    <x v="10"/>
    <x v="0"/>
    <x v="4"/>
    <s v="Green"/>
    <x v="1"/>
    <n v="999"/>
    <x v="2"/>
    <n v="1998"/>
  </r>
  <r>
    <n v="152"/>
    <n v="252"/>
    <d v="2026-10-11T00:00:00"/>
    <x v="17"/>
    <s v="Yatin Saini"/>
    <x v="0"/>
    <x v="3"/>
    <x v="11"/>
    <x v="1"/>
    <x v="3"/>
    <s v="Purple"/>
    <x v="0"/>
    <n v="1899"/>
    <x v="5"/>
    <n v="1899"/>
  </r>
  <r>
    <n v="153"/>
    <n v="253"/>
    <s v="26-04-2026"/>
    <x v="20"/>
    <s v="Yuvik Arora"/>
    <x v="19"/>
    <x v="8"/>
    <x v="12"/>
    <x v="0"/>
    <x v="0"/>
    <s v="Red"/>
    <x v="1"/>
    <n v="699"/>
    <x v="0"/>
    <n v="1398"/>
  </r>
  <r>
    <n v="154"/>
    <n v="254"/>
    <d v="2026-05-08T00:00:00"/>
    <x v="10"/>
    <s v="Laksh Chawla"/>
    <x v="20"/>
    <x v="0"/>
    <x v="13"/>
    <x v="1"/>
    <x v="1"/>
    <s v="Navy Blue"/>
    <x v="0"/>
    <n v="2499"/>
    <x v="1"/>
    <n v="2499"/>
  </r>
  <r>
    <n v="155"/>
    <n v="255"/>
    <s v="26-06-2026"/>
    <x v="1"/>
    <s v="Lakshit Tiwari"/>
    <x v="21"/>
    <x v="2"/>
    <x v="14"/>
    <x v="0"/>
    <x v="2"/>
    <s v="Pink"/>
    <x v="3"/>
    <n v="1199"/>
    <x v="3"/>
    <n v="4796"/>
  </r>
  <r>
    <n v="156"/>
    <n v="256"/>
    <s v="19-10-2026"/>
    <x v="21"/>
    <s v="Kartik Jain"/>
    <x v="22"/>
    <x v="7"/>
    <x v="15"/>
    <x v="1"/>
    <x v="0"/>
    <s v="Grey"/>
    <x v="1"/>
    <n v="2199"/>
    <x v="0"/>
    <n v="4398"/>
  </r>
  <r>
    <n v="157"/>
    <n v="257"/>
    <d v="2026-09-01T00:00:00"/>
    <x v="18"/>
    <s v="Kushagra Saxena"/>
    <x v="7"/>
    <x v="5"/>
    <x v="16"/>
    <x v="0"/>
    <x v="3"/>
    <s v="Black"/>
    <x v="0"/>
    <n v="1599"/>
    <x v="2"/>
    <n v="1599"/>
  </r>
  <r>
    <n v="158"/>
    <n v="258"/>
    <s v="29-07-2026"/>
    <x v="25"/>
    <s v="Kunal Goel"/>
    <x v="32"/>
    <x v="6"/>
    <x v="17"/>
    <x v="1"/>
    <x v="1"/>
    <s v="White"/>
    <x v="2"/>
    <n v="2999"/>
    <x v="4"/>
    <n v="8997"/>
  </r>
  <r>
    <n v="159"/>
    <n v="259"/>
    <d v="2026-04-03T00:00:00"/>
    <x v="14"/>
    <s v="Manthan Khanna"/>
    <x v="31"/>
    <x v="3"/>
    <x v="18"/>
    <x v="0"/>
    <x v="4"/>
    <s v="Blue"/>
    <x v="0"/>
    <n v="899"/>
    <x v="1"/>
    <n v="899"/>
  </r>
  <r>
    <n v="160"/>
    <n v="260"/>
    <s v="25-12-2026"/>
    <x v="26"/>
    <s v="Moksh Mittal"/>
    <x v="75"/>
    <x v="1"/>
    <x v="19"/>
    <x v="1"/>
    <x v="0"/>
    <s v="Red"/>
    <x v="1"/>
    <n v="1999"/>
    <x v="5"/>
    <n v="3998"/>
  </r>
  <r>
    <n v="161"/>
    <n v="261"/>
    <s v="13-05-2026"/>
    <x v="11"/>
    <s v="Pratham Yadav"/>
    <x v="33"/>
    <x v="4"/>
    <x v="0"/>
    <x v="0"/>
    <x v="2"/>
    <s v="Beige"/>
    <x v="0"/>
    <n v="1299"/>
    <x v="0"/>
    <n v="1299"/>
  </r>
  <r>
    <n v="162"/>
    <n v="262"/>
    <s v="17-09-2026"/>
    <x v="12"/>
    <s v="Pratyush Sharma"/>
    <x v="4"/>
    <x v="8"/>
    <x v="1"/>
    <x v="1"/>
    <x v="1"/>
    <s v="Yellow"/>
    <x v="2"/>
    <n v="3499"/>
    <x v="3"/>
    <n v="10497"/>
  </r>
  <r>
    <n v="163"/>
    <n v="263"/>
    <d v="2026-06-02T00:00:00"/>
    <x v="27"/>
    <s v="Ranveer Gupta"/>
    <x v="133"/>
    <x v="0"/>
    <x v="2"/>
    <x v="0"/>
    <x v="3"/>
    <s v="Green"/>
    <x v="1"/>
    <n v="799"/>
    <x v="2"/>
    <n v="1598"/>
  </r>
  <r>
    <n v="164"/>
    <n v="264"/>
    <s v="22-11-2026"/>
    <x v="16"/>
    <s v="Rudra Verma"/>
    <x v="14"/>
    <x v="7"/>
    <x v="3"/>
    <x v="1"/>
    <x v="0"/>
    <s v="Maroon"/>
    <x v="0"/>
    <n v="2399"/>
    <x v="1"/>
    <n v="2399"/>
  </r>
  <r>
    <n v="165"/>
    <n v="265"/>
    <s v="14-04-2026"/>
    <x v="7"/>
    <s v="Samarth Mehta"/>
    <x v="25"/>
    <x v="2"/>
    <x v="4"/>
    <x v="0"/>
    <x v="1"/>
    <s v="Sky Blue"/>
    <x v="1"/>
    <n v="1499"/>
    <x v="0"/>
    <n v="2998"/>
  </r>
  <r>
    <n v="166"/>
    <n v="266"/>
    <s v="20-08-2026"/>
    <x v="4"/>
    <s v="Samar Kumar"/>
    <x v="134"/>
    <x v="6"/>
    <x v="5"/>
    <x v="1"/>
    <x v="4"/>
    <s v="Black"/>
    <x v="0"/>
    <n v="2799"/>
    <x v="4"/>
    <n v="2799"/>
  </r>
  <r>
    <n v="167"/>
    <n v="267"/>
    <d v="2026-10-06T00:00:00"/>
    <x v="22"/>
    <s v="Sarthak Singh"/>
    <x v="135"/>
    <x v="5"/>
    <x v="6"/>
    <x v="0"/>
    <x v="2"/>
    <s v="White"/>
    <x v="3"/>
    <n v="999"/>
    <x v="5"/>
    <n v="3996"/>
  </r>
  <r>
    <n v="168"/>
    <n v="268"/>
    <d v="2026-07-10T00:00:00"/>
    <x v="3"/>
    <s v="Shaurya Malhotra"/>
    <x v="136"/>
    <x v="1"/>
    <x v="7"/>
    <x v="1"/>
    <x v="0"/>
    <s v="Purple"/>
    <x v="0"/>
    <n v="1899"/>
    <x v="0"/>
    <n v="1899"/>
  </r>
  <r>
    <n v="169"/>
    <n v="269"/>
    <s v="31-01-2026"/>
    <x v="19"/>
    <s v="Shivam Joshi"/>
    <x v="137"/>
    <x v="3"/>
    <x v="8"/>
    <x v="0"/>
    <x v="3"/>
    <s v="Pink"/>
    <x v="1"/>
    <n v="699"/>
    <x v="2"/>
    <n v="1398"/>
  </r>
  <r>
    <n v="170"/>
    <n v="270"/>
    <s v="18-07-2026"/>
    <x v="8"/>
    <s v="Tejas Kapoor"/>
    <x v="138"/>
    <x v="4"/>
    <x v="9"/>
    <x v="1"/>
    <x v="1"/>
    <s v="Grey"/>
    <x v="2"/>
    <n v="2599"/>
    <x v="3"/>
    <n v="7797"/>
  </r>
  <r>
    <n v="171"/>
    <n v="271"/>
    <s v="21-03-2026"/>
    <x v="24"/>
    <s v="Utsav Khan"/>
    <x v="12"/>
    <x v="8"/>
    <x v="10"/>
    <x v="0"/>
    <x v="2"/>
    <s v="Dark Blue"/>
    <x v="0"/>
    <n v="1199"/>
    <x v="1"/>
    <n v="1199"/>
  </r>
  <r>
    <n v="172"/>
    <n v="272"/>
    <s v="13-12-2026"/>
    <x v="15"/>
    <s v="Vansh Agarwal"/>
    <x v="11"/>
    <x v="0"/>
    <x v="11"/>
    <x v="1"/>
    <x v="0"/>
    <s v="Red"/>
    <x v="1"/>
    <n v="2199"/>
    <x v="0"/>
    <n v="4398"/>
  </r>
  <r>
    <n v="173"/>
    <n v="273"/>
    <d v="2026-06-05T00:00:00"/>
    <x v="13"/>
    <s v="Varad Bansal"/>
    <x v="36"/>
    <x v="2"/>
    <x v="12"/>
    <x v="0"/>
    <x v="3"/>
    <s v="Green"/>
    <x v="0"/>
    <n v="1599"/>
    <x v="4"/>
    <n v="1599"/>
  </r>
  <r>
    <n v="174"/>
    <n v="274"/>
    <s v="29-09-2026"/>
    <x v="6"/>
    <s v="Ved Thakur"/>
    <x v="37"/>
    <x v="5"/>
    <x v="13"/>
    <x v="0"/>
    <x v="3"/>
    <s v="Brown"/>
    <x v="2"/>
    <n v="2999"/>
    <x v="2"/>
    <n v="8997"/>
  </r>
  <r>
    <n v="175"/>
    <n v="275"/>
    <s v="14-02-2026"/>
    <x v="5"/>
    <s v="Vihan Saini"/>
    <x v="139"/>
    <x v="7"/>
    <x v="14"/>
    <x v="0"/>
    <x v="4"/>
    <s v="Navy Blue"/>
    <x v="1"/>
    <n v="899"/>
    <x v="5"/>
    <n v="1798"/>
  </r>
  <r>
    <n v="176"/>
    <n v="276"/>
    <d v="2026-05-11T00:00:00"/>
    <x v="1"/>
    <s v="Vivaan Arora"/>
    <x v="140"/>
    <x v="6"/>
    <x v="15"/>
    <x v="2"/>
    <x v="0"/>
    <s v="Black"/>
    <x v="0"/>
    <n v="1999"/>
    <x v="0"/>
    <n v="1999"/>
  </r>
  <r>
    <n v="177"/>
    <n v="277"/>
    <s v="22-04-2026"/>
    <x v="17"/>
    <s v="Yashvardhan Chawla"/>
    <x v="141"/>
    <x v="1"/>
    <x v="16"/>
    <x v="0"/>
    <x v="2"/>
    <s v="Blue"/>
    <x v="1"/>
    <n v="1299"/>
    <x v="1"/>
    <n v="2598"/>
  </r>
  <r>
    <n v="178"/>
    <n v="278"/>
    <d v="2026-11-08T00:00:00"/>
    <x v="18"/>
    <s v="Zaid Tiwari"/>
    <x v="142"/>
    <x v="3"/>
    <x v="17"/>
    <x v="1"/>
    <x v="1"/>
    <s v="White"/>
    <x v="0"/>
    <n v="3499"/>
    <x v="3"/>
    <n v="3499"/>
  </r>
  <r>
    <n v="179"/>
    <n v="279"/>
    <d v="2026-02-06T00:00:00"/>
    <x v="23"/>
    <s v="Zoravar Jain"/>
    <x v="143"/>
    <x v="4"/>
    <x v="18"/>
    <x v="2"/>
    <x v="3"/>
    <s v="Yellow"/>
    <x v="3"/>
    <n v="799"/>
    <x v="2"/>
    <n v="3196"/>
  </r>
  <r>
    <n v="180"/>
    <n v="280"/>
    <s v="23-10-2026"/>
    <x v="20"/>
    <s v="Aakash Saxena"/>
    <x v="38"/>
    <x v="8"/>
    <x v="19"/>
    <x v="1"/>
    <x v="0"/>
    <s v="Pink"/>
    <x v="1"/>
    <n v="2299"/>
    <x v="0"/>
    <n v="4598"/>
  </r>
  <r>
    <n v="181"/>
    <n v="281"/>
    <s v="17-01-2026"/>
    <x v="2"/>
    <s v="Aman Goel"/>
    <x v="144"/>
    <x v="0"/>
    <x v="0"/>
    <x v="0"/>
    <x v="1"/>
    <s v="Red"/>
    <x v="0"/>
    <n v="1399"/>
    <x v="4"/>
    <n v="1399"/>
  </r>
  <r>
    <n v="182"/>
    <n v="282"/>
    <d v="2026-05-07T00:00:00"/>
    <x v="12"/>
    <s v="Anirudh Khanna"/>
    <x v="145"/>
    <x v="7"/>
    <x v="1"/>
    <x v="1"/>
    <x v="2"/>
    <s v="Green"/>
    <x v="2"/>
    <n v="2799"/>
    <x v="1"/>
    <n v="8397"/>
  </r>
  <r>
    <n v="183"/>
    <n v="283"/>
    <s v="30-03-2026"/>
    <x v="25"/>
    <s v="Ansh Mittal"/>
    <x v="146"/>
    <x v="0"/>
    <x v="2"/>
    <x v="0"/>
    <x v="4"/>
    <s v="Grey"/>
    <x v="0"/>
    <n v="999"/>
    <x v="5"/>
    <n v="999"/>
  </r>
  <r>
    <n v="184"/>
    <n v="284"/>
    <d v="2026-01-12T00:00:00"/>
    <x v="11"/>
    <s v="Arpit Yadav"/>
    <x v="147"/>
    <x v="7"/>
    <x v="3"/>
    <x v="1"/>
    <x v="0"/>
    <s v="Maroon"/>
    <x v="1"/>
    <n v="1899"/>
    <x v="0"/>
    <n v="3798"/>
  </r>
  <r>
    <n v="185"/>
    <n v="285"/>
    <s v="25-05-2026"/>
    <x v="16"/>
    <s v="Bhavesh Sharma"/>
    <x v="39"/>
    <x v="0"/>
    <x v="4"/>
    <x v="0"/>
    <x v="3"/>
    <s v="Beige"/>
    <x v="2"/>
    <n v="699"/>
    <x v="2"/>
    <n v="2097"/>
  </r>
  <r>
    <n v="186"/>
    <n v="286"/>
    <d v="2026-10-09T00:00:00"/>
    <x v="26"/>
    <s v="Chetan Gupta"/>
    <x v="40"/>
    <x v="7"/>
    <x v="5"/>
    <x v="1"/>
    <x v="1"/>
    <s v="Black"/>
    <x v="1"/>
    <n v="2499"/>
    <x v="3"/>
    <n v="4998"/>
  </r>
  <r>
    <n v="187"/>
    <n v="287"/>
    <s v="23-02-2026"/>
    <x v="4"/>
    <s v="Darshan Verma"/>
    <x v="148"/>
    <x v="0"/>
    <x v="6"/>
    <x v="0"/>
    <x v="2"/>
    <s v="White"/>
    <x v="1"/>
    <n v="1199"/>
    <x v="4"/>
    <n v="2398"/>
  </r>
  <r>
    <n v="188"/>
    <n v="288"/>
    <s v="16-11-2026"/>
    <x v="27"/>
    <s v="Eshan Mehta"/>
    <x v="149"/>
    <x v="7"/>
    <x v="7"/>
    <x v="1"/>
    <x v="0"/>
    <s v="Sky Blue"/>
    <x v="0"/>
    <n v="2199"/>
    <x v="1"/>
    <n v="2199"/>
  </r>
  <r>
    <n v="189"/>
    <n v="289"/>
    <d v="2026-11-04T00:00:00"/>
    <x v="14"/>
    <s v="Gagan Kumar"/>
    <x v="150"/>
    <x v="0"/>
    <x v="8"/>
    <x v="0"/>
    <x v="1"/>
    <s v="Dark Blue"/>
    <x v="2"/>
    <n v="1599"/>
    <x v="5"/>
    <n v="4797"/>
  </r>
  <r>
    <n v="190"/>
    <n v="290"/>
    <s v="27-08-2026"/>
    <x v="7"/>
    <s v="Hemant Singh"/>
    <x v="41"/>
    <x v="7"/>
    <x v="9"/>
    <x v="1"/>
    <x v="3"/>
    <s v="Purple"/>
    <x v="1"/>
    <n v="2999"/>
    <x v="0"/>
    <n v="5998"/>
  </r>
  <r>
    <n v="191"/>
    <n v="291"/>
    <s v="23-06-2026"/>
    <x v="8"/>
    <s v="Jai Malhotra"/>
    <x v="151"/>
    <x v="0"/>
    <x v="10"/>
    <x v="0"/>
    <x v="4"/>
    <s v="Red"/>
    <x v="2"/>
    <n v="899"/>
    <x v="2"/>
    <n v="2697"/>
  </r>
  <r>
    <n v="192"/>
    <n v="292"/>
    <d v="2026-12-10T00:00:00"/>
    <x v="22"/>
    <s v="Kamal Joshi"/>
    <x v="152"/>
    <x v="7"/>
    <x v="11"/>
    <x v="1"/>
    <x v="0"/>
    <s v="Navy Blue"/>
    <x v="0"/>
    <n v="1999"/>
    <x v="3"/>
    <n v="1999"/>
  </r>
  <r>
    <n v="193"/>
    <n v="293"/>
    <d v="2026-08-03T00:00:00"/>
    <x v="21"/>
    <s v="Lalit Kapoor"/>
    <x v="153"/>
    <x v="0"/>
    <x v="12"/>
    <x v="0"/>
    <x v="2"/>
    <s v="Green"/>
    <x v="0"/>
    <n v="1299"/>
    <x v="4"/>
    <n v="1299"/>
  </r>
  <r>
    <n v="194"/>
    <n v="294"/>
    <d v="2026-08-11T00:00:00"/>
    <x v="3"/>
    <s v="Mandeep Khan"/>
    <x v="42"/>
    <x v="7"/>
    <x v="13"/>
    <x v="1"/>
    <x v="1"/>
    <s v="Pink"/>
    <x v="1"/>
    <n v="3499"/>
    <x v="1"/>
    <n v="6998"/>
  </r>
  <r>
    <n v="195"/>
    <n v="295"/>
    <d v="2026-08-27T00:00:00"/>
    <x v="10"/>
    <s v="Naveen Agarwal"/>
    <x v="43"/>
    <x v="0"/>
    <x v="14"/>
    <x v="0"/>
    <x v="3"/>
    <s v="Grey"/>
    <x v="0"/>
    <n v="799"/>
    <x v="5"/>
    <n v="799"/>
  </r>
  <r>
    <n v="196"/>
    <n v="296"/>
    <d v="2026-12-12T00:00:00"/>
    <x v="18"/>
    <s v="Om Bansal"/>
    <x v="27"/>
    <x v="7"/>
    <x v="15"/>
    <x v="1"/>
    <x v="0"/>
    <s v="Black"/>
    <x v="2"/>
    <n v="2399"/>
    <x v="0"/>
    <n v="7197"/>
  </r>
  <r>
    <n v="197"/>
    <n v="297"/>
    <s v="19/8/2026"/>
    <x v="17"/>
    <s v="Raghav Thakur"/>
    <x v="45"/>
    <x v="0"/>
    <x v="16"/>
    <x v="2"/>
    <x v="1"/>
    <s v="White"/>
    <x v="2"/>
    <n v="1499"/>
    <x v="2"/>
    <n v="4497"/>
  </r>
  <r>
    <n v="198"/>
    <n v="298"/>
    <d v="2026-11-11T00:00:00"/>
    <x v="1"/>
    <s v="Rajat Saini"/>
    <x v="47"/>
    <x v="7"/>
    <x v="17"/>
    <x v="1"/>
    <x v="2"/>
    <s v="Blue"/>
    <x v="2"/>
    <n v="2799"/>
    <x v="3"/>
    <n v="8397"/>
  </r>
  <r>
    <n v="199"/>
    <n v="299"/>
    <d v="7436-02-12T00:00:00"/>
    <x v="5"/>
    <s v="Samar Arora"/>
    <x v="154"/>
    <x v="0"/>
    <x v="18"/>
    <x v="0"/>
    <x v="4"/>
    <s v="Red"/>
    <x v="1"/>
    <n v="999"/>
    <x v="4"/>
    <n v="1998"/>
  </r>
  <r>
    <n v="200"/>
    <n v="300"/>
    <s v="16/02/2026"/>
    <x v="15"/>
    <s v="Sandeep Chawla"/>
    <x v="155"/>
    <x v="7"/>
    <x v="19"/>
    <x v="0"/>
    <x v="2"/>
    <s v="Purple"/>
    <x v="0"/>
    <n v="1899"/>
    <x v="1"/>
    <n v="1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59079-F05E-46A3-9827-BAC35400A6DE}" name="PivotTable3" cacheId="9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D156" firstHeaderRow="0" firstDataRow="1" firstDataCol="2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8"/>
        <item x="2"/>
        <item x="5"/>
        <item x="1"/>
        <item x="3"/>
        <item x="6"/>
        <item x="4"/>
        <item x="7"/>
        <item x="0"/>
        <item t="default"/>
      </items>
    </pivotField>
    <pivotField axis="axisRow" compact="0" outline="0" showAll="0">
      <items count="21">
        <item x="7"/>
        <item x="13"/>
        <item x="16"/>
        <item x="4"/>
        <item x="9"/>
        <item x="18"/>
        <item x="1"/>
        <item x="10"/>
        <item x="17"/>
        <item x="5"/>
        <item x="19"/>
        <item x="8"/>
        <item x="3"/>
        <item x="12"/>
        <item x="2"/>
        <item x="11"/>
        <item x="14"/>
        <item x="0"/>
        <item x="6"/>
        <item x="1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2">
    <field x="6"/>
    <field x="7"/>
  </rowFields>
  <rowItems count="15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/>
    </i>
    <i>
      <x v="1"/>
      <x v="2"/>
    </i>
    <i r="1">
      <x v="3"/>
    </i>
    <i r="1">
      <x v="5"/>
    </i>
    <i r="1">
      <x v="7"/>
    </i>
    <i r="1">
      <x v="11"/>
    </i>
    <i r="1">
      <x v="13"/>
    </i>
    <i r="1">
      <x v="14"/>
    </i>
    <i r="1">
      <x v="16"/>
    </i>
    <i r="1">
      <x v="17"/>
    </i>
    <i r="1">
      <x v="18"/>
    </i>
    <i t="default">
      <x v="1"/>
    </i>
    <i>
      <x v="2"/>
      <x/>
    </i>
    <i r="1">
      <x v="1"/>
    </i>
    <i r="1">
      <x v="2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5"/>
    </i>
    <i r="1">
      <x v="17"/>
    </i>
    <i r="1">
      <x v="18"/>
    </i>
    <i t="default">
      <x v="2"/>
    </i>
    <i>
      <x v="3"/>
      <x/>
    </i>
    <i r="1">
      <x v="1"/>
    </i>
    <i r="1">
      <x v="2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9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t="default">
      <x v="4"/>
    </i>
    <i>
      <x v="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19"/>
    </i>
    <i t="default">
      <x v="5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 v="6"/>
    </i>
    <i>
      <x v="7"/>
      <x/>
    </i>
    <i r="1"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AMOUNT " fld="14" baseField="0" baseItem="0"/>
    <dataField name="Sum of QUANTITY" fld="11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FB7E4-BDD6-4BF3-9B26-D387994C5919}" name="PivotTable4" cacheId="9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7"/>
        <item x="13"/>
        <item x="16"/>
        <item x="4"/>
        <item x="9"/>
        <item x="18"/>
        <item x="1"/>
        <item x="10"/>
        <item x="17"/>
        <item x="5"/>
        <item x="19"/>
        <item x="8"/>
        <item x="3"/>
        <item x="12"/>
        <item x="2"/>
        <item x="11"/>
        <item x="14"/>
        <item x="0"/>
        <item x="6"/>
        <item x="15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 " fld="14" baseField="0" baseItem="0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11BF6-2563-46A6-962E-5EF0AFEB2574}" name="PivotTable1" cacheId="9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10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7"/>
        <item x="13"/>
        <item x="16"/>
        <item x="4"/>
        <item x="9"/>
        <item x="18"/>
        <item x="1"/>
        <item x="10"/>
        <item x="17"/>
        <item x="5"/>
        <item x="19"/>
        <item x="8"/>
        <item x="3"/>
        <item x="12"/>
        <item x="2"/>
        <item x="11"/>
        <item x="14"/>
        <item x="0"/>
        <item x="6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dataField="1" compact="0" outline="0"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AMOUNT " fld="14" baseField="0" baseItem="0"/>
  </dataFields>
  <chartFormats count="36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84925-7885-45A0-B067-BC9E453F884A}" name="PivotTable1" cacheId="9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0">
  <location ref="A3:C34" firstHeaderRow="1" firstDataRow="1" firstDataCol="2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157">
        <item x="15"/>
        <item x="4"/>
        <item x="33"/>
        <item x="106"/>
        <item x="64"/>
        <item x="34"/>
        <item x="74"/>
        <item x="55"/>
        <item x="113"/>
        <item x="17"/>
        <item x="137"/>
        <item x="118"/>
        <item x="110"/>
        <item x="70"/>
        <item x="59"/>
        <item x="88"/>
        <item x="65"/>
        <item x="80"/>
        <item x="51"/>
        <item x="85"/>
        <item x="2"/>
        <item x="150"/>
        <item x="129"/>
        <item x="77"/>
        <item x="134"/>
        <item x="147"/>
        <item x="78"/>
        <item x="154"/>
        <item x="60"/>
        <item x="12"/>
        <item x="39"/>
        <item x="76"/>
        <item x="144"/>
        <item x="125"/>
        <item x="73"/>
        <item x="18"/>
        <item x="92"/>
        <item x="82"/>
        <item x="29"/>
        <item x="40"/>
        <item x="131"/>
        <item x="121"/>
        <item x="86"/>
        <item x="27"/>
        <item x="0"/>
        <item x="126"/>
        <item x="124"/>
        <item x="151"/>
        <item x="100"/>
        <item x="145"/>
        <item x="117"/>
        <item x="98"/>
        <item x="21"/>
        <item x="62"/>
        <item x="136"/>
        <item x="128"/>
        <item x="22"/>
        <item x="68"/>
        <item x="20"/>
        <item x="41"/>
        <item x="36"/>
        <item x="72"/>
        <item x="45"/>
        <item x="90"/>
        <item x="127"/>
        <item x="47"/>
        <item x="116"/>
        <item x="84"/>
        <item x="3"/>
        <item x="11"/>
        <item x="37"/>
        <item x="7"/>
        <item x="79"/>
        <item x="52"/>
        <item x="43"/>
        <item x="135"/>
        <item x="123"/>
        <item x="69"/>
        <item x="31"/>
        <item x="138"/>
        <item x="105"/>
        <item x="9"/>
        <item x="50"/>
        <item x="120"/>
        <item x="28"/>
        <item x="111"/>
        <item x="5"/>
        <item x="104"/>
        <item x="146"/>
        <item x="75"/>
        <item x="107"/>
        <item x="102"/>
        <item x="57"/>
        <item x="8"/>
        <item x="16"/>
        <item x="93"/>
        <item x="109"/>
        <item x="122"/>
        <item x="83"/>
        <item x="63"/>
        <item x="23"/>
        <item x="54"/>
        <item x="66"/>
        <item x="1"/>
        <item x="71"/>
        <item x="130"/>
        <item x="30"/>
        <item x="10"/>
        <item x="114"/>
        <item x="24"/>
        <item x="19"/>
        <item x="108"/>
        <item x="81"/>
        <item x="48"/>
        <item x="53"/>
        <item x="13"/>
        <item x="35"/>
        <item x="6"/>
        <item x="149"/>
        <item x="132"/>
        <item x="38"/>
        <item x="25"/>
        <item x="26"/>
        <item x="142"/>
        <item x="143"/>
        <item x="58"/>
        <item x="46"/>
        <item x="148"/>
        <item x="140"/>
        <item x="67"/>
        <item x="94"/>
        <item x="155"/>
        <item x="115"/>
        <item x="141"/>
        <item x="153"/>
        <item x="44"/>
        <item x="89"/>
        <item x="152"/>
        <item x="119"/>
        <item x="61"/>
        <item x="112"/>
        <item x="49"/>
        <item x="42"/>
        <item x="133"/>
        <item x="101"/>
        <item x="99"/>
        <item x="103"/>
        <item x="95"/>
        <item x="96"/>
        <item x="87"/>
        <item x="32"/>
        <item x="91"/>
        <item x="139"/>
        <item x="14"/>
        <item x="97"/>
        <item x="56"/>
        <item t="default"/>
      </items>
    </pivotField>
    <pivotField compact="0" outline="0" showAll="0"/>
    <pivotField compact="0" outline="0" showAll="0">
      <items count="21">
        <item x="7"/>
        <item x="13"/>
        <item x="16"/>
        <item x="4"/>
        <item x="9"/>
        <item x="18"/>
        <item x="1"/>
        <item x="10"/>
        <item x="17"/>
        <item x="5"/>
        <item x="19"/>
        <item x="8"/>
        <item x="3"/>
        <item x="12"/>
        <item x="2"/>
        <item x="11"/>
        <item x="14"/>
        <item x="0"/>
        <item x="6"/>
        <item x="15"/>
        <item t="default"/>
      </items>
    </pivotField>
    <pivotField compact="0" outline="0" showAll="0"/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5"/>
    <field x="9"/>
  </rowFields>
  <rowItems count="31">
    <i>
      <x v="1"/>
      <x/>
    </i>
    <i r="1">
      <x v="1"/>
    </i>
    <i t="default">
      <x v="1"/>
    </i>
    <i>
      <x v="2"/>
      <x/>
    </i>
    <i r="1">
      <x v="3"/>
    </i>
    <i t="default">
      <x v="2"/>
    </i>
    <i>
      <x v="39"/>
      <x/>
    </i>
    <i r="1">
      <x v="2"/>
    </i>
    <i t="default">
      <x v="39"/>
    </i>
    <i>
      <x v="44"/>
      <x/>
    </i>
    <i r="1">
      <x v="1"/>
    </i>
    <i r="1">
      <x v="2"/>
    </i>
    <i r="1">
      <x v="4"/>
    </i>
    <i t="default">
      <x v="44"/>
    </i>
    <i>
      <x v="89"/>
      <x v="1"/>
    </i>
    <i r="1">
      <x v="3"/>
    </i>
    <i t="default">
      <x v="89"/>
    </i>
    <i>
      <x v="91"/>
      <x v="3"/>
    </i>
    <i t="default">
      <x v="91"/>
    </i>
    <i>
      <x v="115"/>
      <x/>
    </i>
    <i r="1">
      <x v="4"/>
    </i>
    <i t="default">
      <x v="115"/>
    </i>
    <i>
      <x v="120"/>
      <x v="1"/>
    </i>
    <i t="default">
      <x v="120"/>
    </i>
    <i>
      <x v="142"/>
      <x/>
    </i>
    <i r="1">
      <x v="3"/>
    </i>
    <i t="default">
      <x v="142"/>
    </i>
    <i>
      <x v="150"/>
      <x/>
    </i>
    <i r="1">
      <x v="4"/>
    </i>
    <i t="default">
      <x v="150"/>
    </i>
    <i t="grand">
      <x/>
    </i>
  </rowItems>
  <colItems count="1">
    <i/>
  </colItems>
  <dataFields count="1">
    <dataField name="Sum of TOTAL AMOUNT " fld="14" baseField="0" baseItem="0"/>
  </dataFields>
  <chartFormats count="8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F0666-C408-4563-9223-E85B340EECDB}" name="PivotTable1" cacheId="9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1">
        <item x="7"/>
        <item x="13"/>
        <item x="16"/>
        <item x="4"/>
        <item x="9"/>
        <item x="18"/>
        <item x="1"/>
        <item x="10"/>
        <item x="17"/>
        <item x="5"/>
        <item x="19"/>
        <item x="8"/>
        <item x="3"/>
        <item x="12"/>
        <item x="2"/>
        <item x="11"/>
        <item x="14"/>
        <item x="0"/>
        <item x="6"/>
        <item x="15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RAND" fld="7" subtotal="count" baseField="0" baseItem="0"/>
  </dataFields>
  <chartFormats count="3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E51EE-A6BB-45C8-B98C-F0E2AA456A8A}" name="PivotTable1" cacheId="9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D31" firstHeaderRow="1" firstDataRow="1" firstDataCol="3"/>
  <pivotFields count="15">
    <pivotField compact="0" outline="0" showAll="0"/>
    <pivotField compact="0" outline="0" showAll="0"/>
    <pivotField compact="0" outline="0" showAll="0"/>
    <pivotField compact="0" outline="0" showAll="0">
      <items count="29">
        <item x="0"/>
        <item x="9"/>
        <item x="20"/>
        <item x="3"/>
        <item x="14"/>
        <item x="6"/>
        <item x="16"/>
        <item x="1"/>
        <item x="12"/>
        <item x="8"/>
        <item x="18"/>
        <item x="4"/>
        <item x="15"/>
        <item x="11"/>
        <item x="2"/>
        <item x="21"/>
        <item x="24"/>
        <item x="7"/>
        <item x="17"/>
        <item x="26"/>
        <item x="13"/>
        <item x="22"/>
        <item x="25"/>
        <item x="5"/>
        <item x="19"/>
        <item x="27"/>
        <item x="10"/>
        <item x="23"/>
        <item t="default"/>
      </items>
    </pivotField>
    <pivotField compact="0" outline="0" showAll="0"/>
    <pivotField compact="0" outline="0" showAll="0"/>
    <pivotField compact="0" outline="0" showAll="0">
      <items count="10">
        <item h="1" x="8"/>
        <item h="1" x="2"/>
        <item x="5"/>
        <item h="1" x="1"/>
        <item h="1" x="3"/>
        <item h="1" x="6"/>
        <item h="1" x="4"/>
        <item h="1" x="7"/>
        <item h="1" x="0"/>
        <item t="default"/>
      </items>
    </pivotField>
    <pivotField compact="0" outline="0" showAll="0">
      <items count="21">
        <item x="7"/>
        <item x="13"/>
        <item x="16"/>
        <item x="4"/>
        <item x="9"/>
        <item x="18"/>
        <item x="1"/>
        <item x="10"/>
        <item x="17"/>
        <item x="5"/>
        <item x="19"/>
        <item x="8"/>
        <item x="3"/>
        <item x="12"/>
        <item x="2"/>
        <item x="11"/>
        <item x="14"/>
        <item x="0"/>
        <item x="6"/>
        <item x="15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/>
    <pivotField dataField="1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compact="0" outline="0" showAll="0"/>
  </pivotFields>
  <rowFields count="3">
    <field x="8"/>
    <field x="13"/>
    <field x="9"/>
  </rowFields>
  <rowItems count="27">
    <i>
      <x/>
      <x v="1"/>
      <x/>
    </i>
    <i r="2">
      <x v="3"/>
    </i>
    <i t="default" r="1">
      <x v="1"/>
    </i>
    <i r="1">
      <x v="2"/>
      <x/>
    </i>
    <i r="2">
      <x v="1"/>
    </i>
    <i t="default" r="1">
      <x v="2"/>
    </i>
    <i r="1">
      <x v="3"/>
      <x v="3"/>
    </i>
    <i t="default" r="1">
      <x v="3"/>
    </i>
    <i r="1">
      <x v="4"/>
      <x/>
    </i>
    <i r="2">
      <x v="1"/>
    </i>
    <i r="2">
      <x v="2"/>
    </i>
    <i t="default" r="1">
      <x v="4"/>
    </i>
    <i r="1">
      <x v="5"/>
      <x v="1"/>
    </i>
    <i r="2">
      <x v="2"/>
    </i>
    <i t="default" r="1">
      <x v="5"/>
    </i>
    <i t="default">
      <x/>
    </i>
    <i>
      <x v="1"/>
      <x/>
      <x/>
    </i>
    <i t="default" r="1">
      <x/>
    </i>
    <i r="1">
      <x v="2"/>
      <x v="1"/>
    </i>
    <i r="2">
      <x v="2"/>
    </i>
    <i t="default" r="1">
      <x v="2"/>
    </i>
    <i r="1">
      <x v="5"/>
      <x v="2"/>
    </i>
    <i r="2">
      <x v="3"/>
    </i>
    <i r="2">
      <x v="4"/>
    </i>
    <i t="default" r="1">
      <x v="5"/>
    </i>
    <i t="default">
      <x v="1"/>
    </i>
    <i t="grand">
      <x/>
    </i>
  </rowItems>
  <colItems count="1">
    <i/>
  </colItems>
  <dataFields count="1">
    <dataField name="Sum of QUANTITY" fld="11" baseField="0" baseItem="0"/>
  </dataFields>
  <formats count="231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8" type="button" dataOnly="0" labelOnly="1" outline="0" axis="axisRow" fieldPosition="0"/>
    </format>
    <format dxfId="33">
      <pivotArea field="13" type="button" dataOnly="0" labelOnly="1" outline="0" axis="axisRow" fieldPosition="1"/>
    </format>
    <format dxfId="34">
      <pivotArea field="9" type="button" dataOnly="0" labelOnly="1" outline="0" axis="axisRow" fieldPosition="2"/>
    </format>
    <format dxfId="35">
      <pivotArea dataOnly="0" labelOnly="1" outline="0" fieldPosition="0">
        <references count="1">
          <reference field="8" count="0"/>
        </references>
      </pivotArea>
    </format>
    <format dxfId="36">
      <pivotArea dataOnly="0" labelOnly="1" outline="0" fieldPosition="0">
        <references count="1">
          <reference field="8" count="0" defaultSubtotal="1"/>
        </references>
      </pivotArea>
    </format>
    <format dxfId="37">
      <pivotArea dataOnly="0" labelOnly="1" grandRow="1" outline="0" fieldPosition="0"/>
    </format>
    <format dxfId="38">
      <pivotArea dataOnly="0" labelOnly="1" outline="0" fieldPosition="0">
        <references count="2">
          <reference field="8" count="1" selected="0">
            <x v="0"/>
          </reference>
          <reference field="13" count="0"/>
        </references>
      </pivotArea>
    </format>
    <format dxfId="39">
      <pivotArea dataOnly="0" labelOnly="1" outline="0" fieldPosition="0">
        <references count="2">
          <reference field="8" count="1" selected="0">
            <x v="0"/>
          </reference>
          <reference field="13" count="0" defaultSubtotal="1"/>
        </references>
      </pivotArea>
    </format>
    <format dxfId="40">
      <pivotArea dataOnly="0" labelOnly="1" outline="0" fieldPosition="0">
        <references count="2">
          <reference field="8" count="1" selected="0">
            <x v="1"/>
          </reference>
          <reference field="13" count="0"/>
        </references>
      </pivotArea>
    </format>
    <format dxfId="41">
      <pivotArea dataOnly="0" labelOnly="1" outline="0" fieldPosition="0">
        <references count="2">
          <reference field="8" count="1" selected="0">
            <x v="1"/>
          </reference>
          <reference field="13" count="0" defaultSubtotal="1"/>
        </references>
      </pivotArea>
    </format>
    <format dxfId="42">
      <pivotArea dataOnly="0" labelOnly="1" outline="0" fieldPosition="0">
        <references count="2">
          <reference field="8" count="1" selected="0">
            <x v="2"/>
          </reference>
          <reference field="13" count="2">
            <x v="2"/>
            <x v="4"/>
          </reference>
        </references>
      </pivotArea>
    </format>
    <format dxfId="43">
      <pivotArea dataOnly="0" labelOnly="1" outline="0" fieldPosition="0">
        <references count="2">
          <reference field="8" count="1" selected="0">
            <x v="2"/>
          </reference>
          <reference field="13" count="2" defaultSubtotal="1">
            <x v="2"/>
            <x v="4"/>
          </reference>
        </references>
      </pivotArea>
    </format>
    <format dxfId="44">
      <pivotArea dataOnly="0" labelOnly="1" outline="0" fieldPosition="0">
        <references count="3">
          <reference field="8" count="1" selected="0">
            <x v="0"/>
          </reference>
          <reference field="9" count="4">
            <x v="0"/>
            <x v="1"/>
            <x v="2"/>
            <x v="3"/>
          </reference>
          <reference field="13" count="1" selected="0">
            <x v="0"/>
          </reference>
        </references>
      </pivotArea>
    </format>
    <format dxfId="45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46">
      <pivotArea dataOnly="0" labelOnly="1" outline="0" fieldPosition="0">
        <references count="3">
          <reference field="8" count="1" selected="0">
            <x v="0"/>
          </reference>
          <reference field="9" count="4">
            <x v="0"/>
            <x v="1"/>
            <x v="3"/>
            <x v="4"/>
          </reference>
          <reference field="13" count="1" selected="0">
            <x v="2"/>
          </reference>
        </references>
      </pivotArea>
    </format>
    <format dxfId="47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3"/>
          </reference>
        </references>
      </pivotArea>
    </format>
    <format dxfId="48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4"/>
          </reference>
        </references>
      </pivotArea>
    </format>
    <format dxfId="49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5"/>
          </reference>
        </references>
      </pivotArea>
    </format>
    <format dxfId="50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1"/>
            <x v="2"/>
            <x v="3"/>
          </reference>
          <reference field="13" count="1" selected="0">
            <x v="0"/>
          </reference>
        </references>
      </pivotArea>
    </format>
    <format dxfId="51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2"/>
            <x v="3"/>
            <x v="4"/>
          </reference>
          <reference field="13" count="1" selected="0">
            <x v="1"/>
          </reference>
        </references>
      </pivotArea>
    </format>
    <format dxfId="52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2"/>
          </reference>
        </references>
      </pivotArea>
    </format>
    <format dxfId="53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3"/>
          </reference>
        </references>
      </pivotArea>
    </format>
    <format dxfId="54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4"/>
          </reference>
        </references>
      </pivotArea>
    </format>
    <format dxfId="55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5"/>
          </reference>
        </references>
      </pivotArea>
    </format>
    <format dxfId="56">
      <pivotArea dataOnly="0" labelOnly="1" outline="0" fieldPosition="0">
        <references count="3">
          <reference field="8" count="1" selected="0">
            <x v="2"/>
          </reference>
          <reference field="9" count="2">
            <x v="0"/>
            <x v="2"/>
          </reference>
          <reference field="13" count="1" selected="0">
            <x v="2"/>
          </reference>
        </references>
      </pivotArea>
    </format>
    <format dxfId="57">
      <pivotArea dataOnly="0" labelOnly="1" outline="0" fieldPosition="0">
        <references count="3">
          <reference field="8" count="1" selected="0">
            <x v="2"/>
          </reference>
          <reference field="9" count="1">
            <x v="1"/>
          </reference>
          <reference field="13" count="1" selected="0">
            <x v="4"/>
          </reference>
        </references>
      </pivotArea>
    </format>
    <format dxfId="58">
      <pivotArea dataOnly="0" labelOnly="1" outline="0" axis="axisValues" fieldPosition="0"/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field="8" type="button" dataOnly="0" labelOnly="1" outline="0" axis="axisRow" fieldPosition="0"/>
    </format>
    <format dxfId="62">
      <pivotArea field="13" type="button" dataOnly="0" labelOnly="1" outline="0" axis="axisRow" fieldPosition="1"/>
    </format>
    <format dxfId="63">
      <pivotArea field="9" type="button" dataOnly="0" labelOnly="1" outline="0" axis="axisRow" fieldPosition="2"/>
    </format>
    <format dxfId="64">
      <pivotArea dataOnly="0" labelOnly="1" outline="0" fieldPosition="0">
        <references count="1">
          <reference field="8" count="2">
            <x v="0"/>
            <x v="1"/>
          </reference>
        </references>
      </pivotArea>
    </format>
    <format dxfId="65">
      <pivotArea dataOnly="0" labelOnly="1" outline="0" fieldPosition="0">
        <references count="1">
          <reference field="8" count="2" defaultSubtotal="1">
            <x v="0"/>
            <x v="1"/>
          </reference>
        </references>
      </pivotArea>
    </format>
    <format dxfId="66">
      <pivotArea dataOnly="0" labelOnly="1" grandRow="1" outline="0" fieldPosition="0"/>
    </format>
    <format dxfId="67">
      <pivotArea dataOnly="0" labelOnly="1" outline="0" fieldPosition="0">
        <references count="2">
          <reference field="8" count="1" selected="0">
            <x v="0"/>
          </reference>
          <reference field="13" count="2">
            <x v="4"/>
            <x v="5"/>
          </reference>
        </references>
      </pivotArea>
    </format>
    <format dxfId="68">
      <pivotArea dataOnly="0" labelOnly="1" outline="0" fieldPosition="0">
        <references count="2">
          <reference field="8" count="1" selected="0">
            <x v="0"/>
          </reference>
          <reference field="13" count="2" defaultSubtotal="1">
            <x v="4"/>
            <x v="5"/>
          </reference>
        </references>
      </pivotArea>
    </format>
    <format dxfId="69">
      <pivotArea dataOnly="0" labelOnly="1" outline="0" fieldPosition="0">
        <references count="2">
          <reference field="8" count="1" selected="0">
            <x v="1"/>
          </reference>
          <reference field="13" count="3">
            <x v="0"/>
            <x v="2"/>
            <x v="4"/>
          </reference>
        </references>
      </pivotArea>
    </format>
    <format dxfId="70">
      <pivotArea dataOnly="0" labelOnly="1" outline="0" fieldPosition="0">
        <references count="2">
          <reference field="8" count="1" selected="0">
            <x v="1"/>
          </reference>
          <reference field="13" count="3" defaultSubtotal="1">
            <x v="0"/>
            <x v="2"/>
            <x v="4"/>
          </reference>
        </references>
      </pivotArea>
    </format>
    <format dxfId="71">
      <pivotArea dataOnly="0" labelOnly="1" outline="0" fieldPosition="0">
        <references count="3">
          <reference field="8" count="1" selected="0">
            <x v="0"/>
          </reference>
          <reference field="9" count="1">
            <x v="1"/>
          </reference>
          <reference field="13" count="1" selected="0">
            <x v="4"/>
          </reference>
        </references>
      </pivotArea>
    </format>
    <format dxfId="72">
      <pivotArea dataOnly="0" labelOnly="1" outline="0" fieldPosition="0">
        <references count="3">
          <reference field="8" count="1" selected="0">
            <x v="0"/>
          </reference>
          <reference field="9" count="1">
            <x v="0"/>
          </reference>
          <reference field="13" count="1" selected="0">
            <x v="5"/>
          </reference>
        </references>
      </pivotArea>
    </format>
    <format dxfId="73">
      <pivotArea dataOnly="0" labelOnly="1" outline="0" fieldPosition="0">
        <references count="3">
          <reference field="8" count="1" selected="0">
            <x v="1"/>
          </reference>
          <reference field="9" count="1">
            <x v="0"/>
          </reference>
          <reference field="13" count="1" selected="0">
            <x v="0"/>
          </reference>
        </references>
      </pivotArea>
    </format>
    <format dxfId="74">
      <pivotArea dataOnly="0" labelOnly="1" outline="0" fieldPosition="0">
        <references count="3">
          <reference field="8" count="1" selected="0">
            <x v="1"/>
          </reference>
          <reference field="9" count="1">
            <x v="1"/>
          </reference>
          <reference field="13" count="1" selected="0">
            <x v="4"/>
          </reference>
        </references>
      </pivotArea>
    </format>
    <format dxfId="75">
      <pivotArea dataOnly="0" labelOnly="1" outline="0" axis="axisValues" fieldPosition="0"/>
    </format>
    <format dxfId="76">
      <pivotArea type="all" dataOnly="0" outline="0" fieldPosition="0"/>
    </format>
    <format dxfId="77">
      <pivotArea outline="0" collapsedLevelsAreSubtotals="1" fieldPosition="0"/>
    </format>
    <format dxfId="78">
      <pivotArea field="8" type="button" dataOnly="0" labelOnly="1" outline="0" axis="axisRow" fieldPosition="0"/>
    </format>
    <format dxfId="79">
      <pivotArea field="13" type="button" dataOnly="0" labelOnly="1" outline="0" axis="axisRow" fieldPosition="1"/>
    </format>
    <format dxfId="80">
      <pivotArea field="9" type="button" dataOnly="0" labelOnly="1" outline="0" axis="axisRow" fieldPosition="2"/>
    </format>
    <format dxfId="81">
      <pivotArea dataOnly="0" labelOnly="1" outline="0" fieldPosition="0">
        <references count="1">
          <reference field="8" count="0"/>
        </references>
      </pivotArea>
    </format>
    <format dxfId="82">
      <pivotArea dataOnly="0" labelOnly="1" outline="0" fieldPosition="0">
        <references count="1">
          <reference field="8" count="0" defaultSubtotal="1"/>
        </references>
      </pivotArea>
    </format>
    <format dxfId="83">
      <pivotArea dataOnly="0" labelOnly="1" grandRow="1" outline="0" fieldPosition="0"/>
    </format>
    <format dxfId="84">
      <pivotArea dataOnly="0" labelOnly="1" outline="0" fieldPosition="0">
        <references count="2">
          <reference field="8" count="1" selected="0">
            <x v="0"/>
          </reference>
          <reference field="13" count="0"/>
        </references>
      </pivotArea>
    </format>
    <format dxfId="85">
      <pivotArea dataOnly="0" labelOnly="1" outline="0" fieldPosition="0">
        <references count="2">
          <reference field="8" count="1" selected="0">
            <x v="0"/>
          </reference>
          <reference field="13" count="0" defaultSubtotal="1"/>
        </references>
      </pivotArea>
    </format>
    <format dxfId="86">
      <pivotArea dataOnly="0" labelOnly="1" outline="0" fieldPosition="0">
        <references count="2">
          <reference field="8" count="1" selected="0">
            <x v="1"/>
          </reference>
          <reference field="13" count="0"/>
        </references>
      </pivotArea>
    </format>
    <format dxfId="87">
      <pivotArea dataOnly="0" labelOnly="1" outline="0" fieldPosition="0">
        <references count="2">
          <reference field="8" count="1" selected="0">
            <x v="1"/>
          </reference>
          <reference field="13" count="0" defaultSubtotal="1"/>
        </references>
      </pivotArea>
    </format>
    <format dxfId="88">
      <pivotArea dataOnly="0" labelOnly="1" outline="0" fieldPosition="0">
        <references count="2">
          <reference field="8" count="1" selected="0">
            <x v="2"/>
          </reference>
          <reference field="13" count="2">
            <x v="2"/>
            <x v="4"/>
          </reference>
        </references>
      </pivotArea>
    </format>
    <format dxfId="89">
      <pivotArea dataOnly="0" labelOnly="1" outline="0" fieldPosition="0">
        <references count="2">
          <reference field="8" count="1" selected="0">
            <x v="2"/>
          </reference>
          <reference field="13" count="2" defaultSubtotal="1">
            <x v="2"/>
            <x v="4"/>
          </reference>
        </references>
      </pivotArea>
    </format>
    <format dxfId="90">
      <pivotArea dataOnly="0" labelOnly="1" outline="0" fieldPosition="0">
        <references count="3">
          <reference field="8" count="1" selected="0">
            <x v="0"/>
          </reference>
          <reference field="9" count="4">
            <x v="0"/>
            <x v="1"/>
            <x v="2"/>
            <x v="3"/>
          </reference>
          <reference field="13" count="1" selected="0">
            <x v="0"/>
          </reference>
        </references>
      </pivotArea>
    </format>
    <format dxfId="91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92">
      <pivotArea dataOnly="0" labelOnly="1" outline="0" fieldPosition="0">
        <references count="3">
          <reference field="8" count="1" selected="0">
            <x v="0"/>
          </reference>
          <reference field="9" count="4">
            <x v="0"/>
            <x v="1"/>
            <x v="3"/>
            <x v="4"/>
          </reference>
          <reference field="13" count="1" selected="0">
            <x v="2"/>
          </reference>
        </references>
      </pivotArea>
    </format>
    <format dxfId="93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3"/>
          </reference>
        </references>
      </pivotArea>
    </format>
    <format dxfId="94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4"/>
          </reference>
        </references>
      </pivotArea>
    </format>
    <format dxfId="95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5"/>
          </reference>
        </references>
      </pivotArea>
    </format>
    <format dxfId="96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1"/>
            <x v="2"/>
            <x v="3"/>
          </reference>
          <reference field="13" count="1" selected="0">
            <x v="0"/>
          </reference>
        </references>
      </pivotArea>
    </format>
    <format dxfId="97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2"/>
            <x v="3"/>
            <x v="4"/>
          </reference>
          <reference field="13" count="1" selected="0">
            <x v="1"/>
          </reference>
        </references>
      </pivotArea>
    </format>
    <format dxfId="98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2"/>
          </reference>
        </references>
      </pivotArea>
    </format>
    <format dxfId="99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3"/>
          </reference>
        </references>
      </pivotArea>
    </format>
    <format dxfId="100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4"/>
          </reference>
        </references>
      </pivotArea>
    </format>
    <format dxfId="101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5"/>
          </reference>
        </references>
      </pivotArea>
    </format>
    <format dxfId="102">
      <pivotArea dataOnly="0" labelOnly="1" outline="0" fieldPosition="0">
        <references count="3">
          <reference field="8" count="1" selected="0">
            <x v="2"/>
          </reference>
          <reference field="9" count="2">
            <x v="0"/>
            <x v="2"/>
          </reference>
          <reference field="13" count="1" selected="0">
            <x v="2"/>
          </reference>
        </references>
      </pivotArea>
    </format>
    <format dxfId="103">
      <pivotArea dataOnly="0" labelOnly="1" outline="0" fieldPosition="0">
        <references count="3">
          <reference field="8" count="1" selected="0">
            <x v="2"/>
          </reference>
          <reference field="9" count="1">
            <x v="1"/>
          </reference>
          <reference field="13" count="1" selected="0">
            <x v="4"/>
          </reference>
        </references>
      </pivotArea>
    </format>
    <format dxfId="104">
      <pivotArea dataOnly="0" labelOnly="1" outline="0" axis="axisValues" fieldPosition="0"/>
    </format>
    <format dxfId="105">
      <pivotArea type="all" dataOnly="0" outline="0" fieldPosition="0"/>
    </format>
    <format dxfId="106">
      <pivotArea outline="0" collapsedLevelsAreSubtotals="1" fieldPosition="0"/>
    </format>
    <format dxfId="107">
      <pivotArea field="8" type="button" dataOnly="0" labelOnly="1" outline="0" axis="axisRow" fieldPosition="0"/>
    </format>
    <format dxfId="108">
      <pivotArea field="13" type="button" dataOnly="0" labelOnly="1" outline="0" axis="axisRow" fieldPosition="1"/>
    </format>
    <format dxfId="109">
      <pivotArea field="9" type="button" dataOnly="0" labelOnly="1" outline="0" axis="axisRow" fieldPosition="2"/>
    </format>
    <format dxfId="110">
      <pivotArea dataOnly="0" labelOnly="1" outline="0" fieldPosition="0">
        <references count="1">
          <reference field="8" count="2">
            <x v="0"/>
            <x v="1"/>
          </reference>
        </references>
      </pivotArea>
    </format>
    <format dxfId="111">
      <pivotArea dataOnly="0" labelOnly="1" outline="0" fieldPosition="0">
        <references count="1">
          <reference field="8" count="2" defaultSubtotal="1">
            <x v="0"/>
            <x v="1"/>
          </reference>
        </references>
      </pivotArea>
    </format>
    <format dxfId="112">
      <pivotArea dataOnly="0" labelOnly="1" grandRow="1" outline="0" fieldPosition="0"/>
    </format>
    <format dxfId="113">
      <pivotArea dataOnly="0" labelOnly="1" outline="0" fieldPosition="0">
        <references count="2">
          <reference field="8" count="1" selected="0">
            <x v="0"/>
          </reference>
          <reference field="13" count="3">
            <x v="0"/>
            <x v="2"/>
            <x v="3"/>
          </reference>
        </references>
      </pivotArea>
    </format>
    <format dxfId="114">
      <pivotArea dataOnly="0" labelOnly="1" outline="0" fieldPosition="0">
        <references count="2">
          <reference field="8" count="1" selected="0">
            <x v="0"/>
          </reference>
          <reference field="13" count="3" defaultSubtotal="1">
            <x v="0"/>
            <x v="2"/>
            <x v="3"/>
          </reference>
        </references>
      </pivotArea>
    </format>
    <format dxfId="115">
      <pivotArea dataOnly="0" labelOnly="1" outline="0" fieldPosition="0">
        <references count="2">
          <reference field="8" count="1" selected="0">
            <x v="1"/>
          </reference>
          <reference field="13" count="3">
            <x v="3"/>
            <x v="4"/>
            <x v="5"/>
          </reference>
        </references>
      </pivotArea>
    </format>
    <format dxfId="116">
      <pivotArea dataOnly="0" labelOnly="1" outline="0" fieldPosition="0">
        <references count="2">
          <reference field="8" count="1" selected="0">
            <x v="1"/>
          </reference>
          <reference field="13" count="3" defaultSubtotal="1">
            <x v="3"/>
            <x v="4"/>
            <x v="5"/>
          </reference>
        </references>
      </pivotArea>
    </format>
    <format dxfId="117">
      <pivotArea dataOnly="0" labelOnly="1" outline="0" fieldPosition="0">
        <references count="3">
          <reference field="8" count="1" selected="0">
            <x v="0"/>
          </reference>
          <reference field="9" count="1">
            <x v="2"/>
          </reference>
          <reference field="13" count="1" selected="0">
            <x v="0"/>
          </reference>
        </references>
      </pivotArea>
    </format>
    <format dxfId="118">
      <pivotArea dataOnly="0" labelOnly="1" outline="0" fieldPosition="0">
        <references count="3">
          <reference field="8" count="1" selected="0">
            <x v="0"/>
          </reference>
          <reference field="9" count="1">
            <x v="0"/>
          </reference>
          <reference field="13" count="1" selected="0">
            <x v="2"/>
          </reference>
        </references>
      </pivotArea>
    </format>
    <format dxfId="119">
      <pivotArea dataOnly="0" labelOnly="1" outline="0" fieldPosition="0">
        <references count="3">
          <reference field="8" count="1" selected="0">
            <x v="0"/>
          </reference>
          <reference field="9" count="1">
            <x v="1"/>
          </reference>
          <reference field="13" count="1" selected="0">
            <x v="3"/>
          </reference>
        </references>
      </pivotArea>
    </format>
    <format dxfId="120">
      <pivotArea dataOnly="0" labelOnly="1" outline="0" fieldPosition="0">
        <references count="3">
          <reference field="8" count="1" selected="0">
            <x v="1"/>
          </reference>
          <reference field="9" count="1">
            <x v="2"/>
          </reference>
          <reference field="13" count="1" selected="0">
            <x v="3"/>
          </reference>
        </references>
      </pivotArea>
    </format>
    <format dxfId="121">
      <pivotArea dataOnly="0" labelOnly="1" outline="0" fieldPosition="0">
        <references count="3">
          <reference field="8" count="1" selected="0">
            <x v="1"/>
          </reference>
          <reference field="9" count="1">
            <x v="1"/>
          </reference>
          <reference field="13" count="1" selected="0">
            <x v="4"/>
          </reference>
        </references>
      </pivotArea>
    </format>
    <format dxfId="122">
      <pivotArea dataOnly="0" labelOnly="1" outline="0" fieldPosition="0">
        <references count="3">
          <reference field="8" count="1" selected="0">
            <x v="1"/>
          </reference>
          <reference field="9" count="1">
            <x v="4"/>
          </reference>
          <reference field="13" count="1" selected="0">
            <x v="5"/>
          </reference>
        </references>
      </pivotArea>
    </format>
    <format dxfId="123">
      <pivotArea dataOnly="0" labelOnly="1" outline="0" axis="axisValues" fieldPosition="0"/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field="8" type="button" dataOnly="0" labelOnly="1" outline="0" axis="axisRow" fieldPosition="0"/>
    </format>
    <format dxfId="127">
      <pivotArea field="13" type="button" dataOnly="0" labelOnly="1" outline="0" axis="axisRow" fieldPosition="1"/>
    </format>
    <format dxfId="128">
      <pivotArea field="9" type="button" dataOnly="0" labelOnly="1" outline="0" axis="axisRow" fieldPosition="2"/>
    </format>
    <format dxfId="129">
      <pivotArea dataOnly="0" labelOnly="1" outline="0" fieldPosition="0">
        <references count="1">
          <reference field="8" count="2">
            <x v="0"/>
            <x v="1"/>
          </reference>
        </references>
      </pivotArea>
    </format>
    <format dxfId="130">
      <pivotArea dataOnly="0" labelOnly="1" outline="0" fieldPosition="0">
        <references count="1">
          <reference field="8" count="2" defaultSubtotal="1">
            <x v="0"/>
            <x v="1"/>
          </reference>
        </references>
      </pivotArea>
    </format>
    <format dxfId="131">
      <pivotArea dataOnly="0" labelOnly="1" grandRow="1" outline="0" fieldPosition="0"/>
    </format>
    <format dxfId="132">
      <pivotArea dataOnly="0" labelOnly="1" outline="0" fieldPosition="0">
        <references count="2">
          <reference field="8" count="1" selected="0">
            <x v="0"/>
          </reference>
          <reference field="13" count="3">
            <x v="0"/>
            <x v="2"/>
            <x v="3"/>
          </reference>
        </references>
      </pivotArea>
    </format>
    <format dxfId="133">
      <pivotArea dataOnly="0" labelOnly="1" outline="0" fieldPosition="0">
        <references count="2">
          <reference field="8" count="1" selected="0">
            <x v="0"/>
          </reference>
          <reference field="13" count="3" defaultSubtotal="1">
            <x v="0"/>
            <x v="2"/>
            <x v="3"/>
          </reference>
        </references>
      </pivotArea>
    </format>
    <format dxfId="134">
      <pivotArea dataOnly="0" labelOnly="1" outline="0" fieldPosition="0">
        <references count="2">
          <reference field="8" count="1" selected="0">
            <x v="1"/>
          </reference>
          <reference field="13" count="3">
            <x v="3"/>
            <x v="4"/>
            <x v="5"/>
          </reference>
        </references>
      </pivotArea>
    </format>
    <format dxfId="135">
      <pivotArea dataOnly="0" labelOnly="1" outline="0" fieldPosition="0">
        <references count="2">
          <reference field="8" count="1" selected="0">
            <x v="1"/>
          </reference>
          <reference field="13" count="3" defaultSubtotal="1">
            <x v="3"/>
            <x v="4"/>
            <x v="5"/>
          </reference>
        </references>
      </pivotArea>
    </format>
    <format dxfId="136">
      <pivotArea dataOnly="0" labelOnly="1" outline="0" fieldPosition="0">
        <references count="3">
          <reference field="8" count="1" selected="0">
            <x v="0"/>
          </reference>
          <reference field="9" count="1">
            <x v="2"/>
          </reference>
          <reference field="13" count="1" selected="0">
            <x v="0"/>
          </reference>
        </references>
      </pivotArea>
    </format>
    <format dxfId="137">
      <pivotArea dataOnly="0" labelOnly="1" outline="0" fieldPosition="0">
        <references count="3">
          <reference field="8" count="1" selected="0">
            <x v="0"/>
          </reference>
          <reference field="9" count="1">
            <x v="1"/>
          </reference>
          <reference field="13" count="1" selected="0">
            <x v="3"/>
          </reference>
        </references>
      </pivotArea>
    </format>
    <format dxfId="138">
      <pivotArea dataOnly="0" labelOnly="1" outline="0" fieldPosition="0">
        <references count="3">
          <reference field="8" count="1" selected="0">
            <x v="1"/>
          </reference>
          <reference field="9" count="1">
            <x v="1"/>
          </reference>
          <reference field="13" count="1" selected="0">
            <x v="4"/>
          </reference>
        </references>
      </pivotArea>
    </format>
    <format dxfId="139">
      <pivotArea dataOnly="0" labelOnly="1" outline="0" axis="axisValues" fieldPosition="0"/>
    </format>
    <format dxfId="140">
      <pivotArea type="all" dataOnly="0" outline="0" fieldPosition="0"/>
    </format>
    <format dxfId="141">
      <pivotArea outline="0" collapsedLevelsAreSubtotals="1" fieldPosition="0"/>
    </format>
    <format dxfId="142">
      <pivotArea field="8" type="button" dataOnly="0" labelOnly="1" outline="0" axis="axisRow" fieldPosition="0"/>
    </format>
    <format dxfId="143">
      <pivotArea field="13" type="button" dataOnly="0" labelOnly="1" outline="0" axis="axisRow" fieldPosition="1"/>
    </format>
    <format dxfId="144">
      <pivotArea field="9" type="button" dataOnly="0" labelOnly="1" outline="0" axis="axisRow" fieldPosition="2"/>
    </format>
    <format dxfId="145">
      <pivotArea dataOnly="0" labelOnly="1" outline="0" fieldPosition="0">
        <references count="1">
          <reference field="8" count="2">
            <x v="0"/>
            <x v="1"/>
          </reference>
        </references>
      </pivotArea>
    </format>
    <format dxfId="146">
      <pivotArea dataOnly="0" labelOnly="1" outline="0" fieldPosition="0">
        <references count="1">
          <reference field="8" count="2" defaultSubtotal="1">
            <x v="0"/>
            <x v="1"/>
          </reference>
        </references>
      </pivotArea>
    </format>
    <format dxfId="147">
      <pivotArea dataOnly="0" labelOnly="1" grandRow="1" outline="0" fieldPosition="0"/>
    </format>
    <format dxfId="148">
      <pivotArea dataOnly="0" labelOnly="1" outline="0" fieldPosition="0">
        <references count="2">
          <reference field="8" count="1" selected="0">
            <x v="0"/>
          </reference>
          <reference field="13" count="5">
            <x v="0"/>
            <x v="1"/>
            <x v="3"/>
            <x v="4"/>
            <x v="5"/>
          </reference>
        </references>
      </pivotArea>
    </format>
    <format dxfId="149">
      <pivotArea dataOnly="0" labelOnly="1" outline="0" fieldPosition="0">
        <references count="2">
          <reference field="8" count="1" selected="0">
            <x v="0"/>
          </reference>
          <reference field="13" count="5" defaultSubtotal="1">
            <x v="0"/>
            <x v="1"/>
            <x v="3"/>
            <x v="4"/>
            <x v="5"/>
          </reference>
        </references>
      </pivotArea>
    </format>
    <format dxfId="150">
      <pivotArea dataOnly="0" labelOnly="1" outline="0" fieldPosition="0">
        <references count="2">
          <reference field="8" count="1" selected="0">
            <x v="1"/>
          </reference>
          <reference field="13" count="5">
            <x v="0"/>
            <x v="1"/>
            <x v="2"/>
            <x v="3"/>
            <x v="4"/>
          </reference>
        </references>
      </pivotArea>
    </format>
    <format dxfId="151">
      <pivotArea dataOnly="0" labelOnly="1" outline="0" fieldPosition="0">
        <references count="2">
          <reference field="8" count="1" selected="0">
            <x v="1"/>
          </reference>
          <reference field="13" count="5" defaultSubtotal="1">
            <x v="0"/>
            <x v="1"/>
            <x v="2"/>
            <x v="3"/>
            <x v="4"/>
          </reference>
        </references>
      </pivotArea>
    </format>
    <format dxfId="152">
      <pivotArea dataOnly="0" labelOnly="1" outline="0" fieldPosition="0">
        <references count="3">
          <reference field="8" count="1" selected="0">
            <x v="0"/>
          </reference>
          <reference field="9" count="1">
            <x v="0"/>
          </reference>
          <reference field="13" count="1" selected="0">
            <x v="0"/>
          </reference>
        </references>
      </pivotArea>
    </format>
    <format dxfId="153">
      <pivotArea dataOnly="0" labelOnly="1" outline="0" fieldPosition="0">
        <references count="3">
          <reference field="8" count="1" selected="0">
            <x v="0"/>
          </reference>
          <reference field="9" count="1">
            <x v="3"/>
          </reference>
          <reference field="13" count="1" selected="0">
            <x v="1"/>
          </reference>
        </references>
      </pivotArea>
    </format>
    <format dxfId="154">
      <pivotArea dataOnly="0" labelOnly="1" outline="0" fieldPosition="0">
        <references count="3">
          <reference field="8" count="1" selected="0">
            <x v="0"/>
          </reference>
          <reference field="9" count="1">
            <x v="1"/>
          </reference>
          <reference field="13" count="1" selected="0">
            <x v="3"/>
          </reference>
        </references>
      </pivotArea>
    </format>
    <format dxfId="155">
      <pivotArea dataOnly="0" labelOnly="1" outline="0" fieldPosition="0">
        <references count="3">
          <reference field="8" count="1" selected="0">
            <x v="0"/>
          </reference>
          <reference field="9" count="3">
            <x v="0"/>
            <x v="1"/>
            <x v="4"/>
          </reference>
          <reference field="13" count="1" selected="0">
            <x v="4"/>
          </reference>
        </references>
      </pivotArea>
    </format>
    <format dxfId="156">
      <pivotArea dataOnly="0" labelOnly="1" outline="0" fieldPosition="0">
        <references count="3">
          <reference field="8" count="1" selected="0">
            <x v="0"/>
          </reference>
          <reference field="9" count="2">
            <x v="0"/>
            <x v="1"/>
          </reference>
          <reference field="13" count="1" selected="0">
            <x v="5"/>
          </reference>
        </references>
      </pivotArea>
    </format>
    <format dxfId="157">
      <pivotArea dataOnly="0" labelOnly="1" outline="0" fieldPosition="0">
        <references count="3">
          <reference field="8" count="1" selected="0">
            <x v="1"/>
          </reference>
          <reference field="9" count="1">
            <x v="2"/>
          </reference>
          <reference field="13" count="1" selected="0">
            <x v="0"/>
          </reference>
        </references>
      </pivotArea>
    </format>
    <format dxfId="158">
      <pivotArea dataOnly="0" labelOnly="1" outline="0" fieldPosition="0">
        <references count="3">
          <reference field="8" count="1" selected="0">
            <x v="1"/>
          </reference>
          <reference field="9" count="2">
            <x v="0"/>
            <x v="3"/>
          </reference>
          <reference field="13" count="1" selected="0">
            <x v="1"/>
          </reference>
        </references>
      </pivotArea>
    </format>
    <format dxfId="159">
      <pivotArea dataOnly="0" labelOnly="1" outline="0" fieldPosition="0">
        <references count="3">
          <reference field="8" count="1" selected="0">
            <x v="1"/>
          </reference>
          <reference field="9" count="2">
            <x v="0"/>
            <x v="4"/>
          </reference>
          <reference field="13" count="1" selected="0">
            <x v="2"/>
          </reference>
        </references>
      </pivotArea>
    </format>
    <format dxfId="160">
      <pivotArea dataOnly="0" labelOnly="1" outline="0" fieldPosition="0">
        <references count="3">
          <reference field="8" count="1" selected="0">
            <x v="1"/>
          </reference>
          <reference field="9" count="1">
            <x v="3"/>
          </reference>
          <reference field="13" count="1" selected="0">
            <x v="3"/>
          </reference>
        </references>
      </pivotArea>
    </format>
    <format dxfId="161">
      <pivotArea dataOnly="0" labelOnly="1" outline="0" fieldPosition="0">
        <references count="3">
          <reference field="8" count="1" selected="0">
            <x v="1"/>
          </reference>
          <reference field="9" count="2">
            <x v="0"/>
            <x v="1"/>
          </reference>
          <reference field="13" count="1" selected="0">
            <x v="4"/>
          </reference>
        </references>
      </pivotArea>
    </format>
    <format dxfId="162">
      <pivotArea dataOnly="0" labelOnly="1" outline="0" axis="axisValues" fieldPosition="0"/>
    </format>
    <format dxfId="163">
      <pivotArea type="all" dataOnly="0" outline="0" fieldPosition="0"/>
    </format>
    <format dxfId="164">
      <pivotArea outline="0" collapsedLevelsAreSubtotals="1" fieldPosition="0"/>
    </format>
    <format dxfId="165">
      <pivotArea field="8" type="button" dataOnly="0" labelOnly="1" outline="0" axis="axisRow" fieldPosition="0"/>
    </format>
    <format dxfId="166">
      <pivotArea field="13" type="button" dataOnly="0" labelOnly="1" outline="0" axis="axisRow" fieldPosition="1"/>
    </format>
    <format dxfId="167">
      <pivotArea field="9" type="button" dataOnly="0" labelOnly="1" outline="0" axis="axisRow" fieldPosition="2"/>
    </format>
    <format dxfId="168">
      <pivotArea dataOnly="0" labelOnly="1" outline="0" fieldPosition="0">
        <references count="1">
          <reference field="8" count="0"/>
        </references>
      </pivotArea>
    </format>
    <format dxfId="169">
      <pivotArea dataOnly="0" labelOnly="1" outline="0" fieldPosition="0">
        <references count="1">
          <reference field="8" count="0" defaultSubtotal="1"/>
        </references>
      </pivotArea>
    </format>
    <format dxfId="170">
      <pivotArea dataOnly="0" labelOnly="1" grandRow="1" outline="0" fieldPosition="0"/>
    </format>
    <format dxfId="171">
      <pivotArea dataOnly="0" labelOnly="1" outline="0" fieldPosition="0">
        <references count="2">
          <reference field="8" count="1" selected="0">
            <x v="0"/>
          </reference>
          <reference field="13" count="0"/>
        </references>
      </pivotArea>
    </format>
    <format dxfId="172">
      <pivotArea dataOnly="0" labelOnly="1" outline="0" fieldPosition="0">
        <references count="2">
          <reference field="8" count="1" selected="0">
            <x v="0"/>
          </reference>
          <reference field="13" count="0" defaultSubtotal="1"/>
        </references>
      </pivotArea>
    </format>
    <format dxfId="173">
      <pivotArea dataOnly="0" labelOnly="1" outline="0" fieldPosition="0">
        <references count="2">
          <reference field="8" count="1" selected="0">
            <x v="1"/>
          </reference>
          <reference field="13" count="0"/>
        </references>
      </pivotArea>
    </format>
    <format dxfId="174">
      <pivotArea dataOnly="0" labelOnly="1" outline="0" fieldPosition="0">
        <references count="2">
          <reference field="8" count="1" selected="0">
            <x v="1"/>
          </reference>
          <reference field="13" count="0" defaultSubtotal="1"/>
        </references>
      </pivotArea>
    </format>
    <format dxfId="175">
      <pivotArea dataOnly="0" labelOnly="1" outline="0" fieldPosition="0">
        <references count="2">
          <reference field="8" count="1" selected="0">
            <x v="2"/>
          </reference>
          <reference field="13" count="2">
            <x v="2"/>
            <x v="4"/>
          </reference>
        </references>
      </pivotArea>
    </format>
    <format dxfId="176">
      <pivotArea dataOnly="0" labelOnly="1" outline="0" fieldPosition="0">
        <references count="2">
          <reference field="8" count="1" selected="0">
            <x v="2"/>
          </reference>
          <reference field="13" count="2" defaultSubtotal="1">
            <x v="2"/>
            <x v="4"/>
          </reference>
        </references>
      </pivotArea>
    </format>
    <format dxfId="177">
      <pivotArea dataOnly="0" labelOnly="1" outline="0" fieldPosition="0">
        <references count="3">
          <reference field="8" count="1" selected="0">
            <x v="0"/>
          </reference>
          <reference field="9" count="4">
            <x v="0"/>
            <x v="1"/>
            <x v="2"/>
            <x v="3"/>
          </reference>
          <reference field="13" count="1" selected="0">
            <x v="0"/>
          </reference>
        </references>
      </pivotArea>
    </format>
    <format dxfId="178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179">
      <pivotArea dataOnly="0" labelOnly="1" outline="0" fieldPosition="0">
        <references count="3">
          <reference field="8" count="1" selected="0">
            <x v="0"/>
          </reference>
          <reference field="9" count="4">
            <x v="0"/>
            <x v="1"/>
            <x v="3"/>
            <x v="4"/>
          </reference>
          <reference field="13" count="1" selected="0">
            <x v="2"/>
          </reference>
        </references>
      </pivotArea>
    </format>
    <format dxfId="180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3"/>
          </reference>
        </references>
      </pivotArea>
    </format>
    <format dxfId="181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4"/>
          </reference>
        </references>
      </pivotArea>
    </format>
    <format dxfId="182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5"/>
          </reference>
        </references>
      </pivotArea>
    </format>
    <format dxfId="183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1"/>
            <x v="2"/>
            <x v="3"/>
          </reference>
          <reference field="13" count="1" selected="0">
            <x v="0"/>
          </reference>
        </references>
      </pivotArea>
    </format>
    <format dxfId="184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2"/>
            <x v="3"/>
            <x v="4"/>
          </reference>
          <reference field="13" count="1" selected="0">
            <x v="1"/>
          </reference>
        </references>
      </pivotArea>
    </format>
    <format dxfId="185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2"/>
          </reference>
        </references>
      </pivotArea>
    </format>
    <format dxfId="186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3"/>
          </reference>
        </references>
      </pivotArea>
    </format>
    <format dxfId="187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4"/>
          </reference>
        </references>
      </pivotArea>
    </format>
    <format dxfId="188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5"/>
          </reference>
        </references>
      </pivotArea>
    </format>
    <format dxfId="189">
      <pivotArea dataOnly="0" labelOnly="1" outline="0" fieldPosition="0">
        <references count="3">
          <reference field="8" count="1" selected="0">
            <x v="2"/>
          </reference>
          <reference field="9" count="2">
            <x v="0"/>
            <x v="2"/>
          </reference>
          <reference field="13" count="1" selected="0">
            <x v="2"/>
          </reference>
        </references>
      </pivotArea>
    </format>
    <format dxfId="190">
      <pivotArea dataOnly="0" labelOnly="1" outline="0" fieldPosition="0">
        <references count="3">
          <reference field="8" count="1" selected="0">
            <x v="2"/>
          </reference>
          <reference field="9" count="1">
            <x v="1"/>
          </reference>
          <reference field="13" count="1" selected="0">
            <x v="4"/>
          </reference>
        </references>
      </pivotArea>
    </format>
    <format dxfId="191">
      <pivotArea dataOnly="0" labelOnly="1" outline="0" axis="axisValues" fieldPosition="0"/>
    </format>
    <format dxfId="192">
      <pivotArea type="all" dataOnly="0" outline="0" fieldPosition="0"/>
    </format>
    <format dxfId="193">
      <pivotArea outline="0" collapsedLevelsAreSubtotals="1" fieldPosition="0"/>
    </format>
    <format dxfId="194">
      <pivotArea field="8" type="button" dataOnly="0" labelOnly="1" outline="0" axis="axisRow" fieldPosition="0"/>
    </format>
    <format dxfId="195">
      <pivotArea field="13" type="button" dataOnly="0" labelOnly="1" outline="0" axis="axisRow" fieldPosition="1"/>
    </format>
    <format dxfId="196">
      <pivotArea field="9" type="button" dataOnly="0" labelOnly="1" outline="0" axis="axisRow" fieldPosition="2"/>
    </format>
    <format dxfId="197">
      <pivotArea dataOnly="0" labelOnly="1" outline="0" fieldPosition="0">
        <references count="1">
          <reference field="8" count="0"/>
        </references>
      </pivotArea>
    </format>
    <format dxfId="198">
      <pivotArea dataOnly="0" labelOnly="1" outline="0" fieldPosition="0">
        <references count="1">
          <reference field="8" count="0" defaultSubtotal="1"/>
        </references>
      </pivotArea>
    </format>
    <format dxfId="199">
      <pivotArea dataOnly="0" labelOnly="1" grandRow="1" outline="0" fieldPosition="0"/>
    </format>
    <format dxfId="200">
      <pivotArea dataOnly="0" labelOnly="1" outline="0" fieldPosition="0">
        <references count="2">
          <reference field="8" count="1" selected="0">
            <x v="0"/>
          </reference>
          <reference field="13" count="0"/>
        </references>
      </pivotArea>
    </format>
    <format dxfId="201">
      <pivotArea dataOnly="0" labelOnly="1" outline="0" fieldPosition="0">
        <references count="2">
          <reference field="8" count="1" selected="0">
            <x v="0"/>
          </reference>
          <reference field="13" count="0" defaultSubtotal="1"/>
        </references>
      </pivotArea>
    </format>
    <format dxfId="202">
      <pivotArea dataOnly="0" labelOnly="1" outline="0" fieldPosition="0">
        <references count="2">
          <reference field="8" count="1" selected="0">
            <x v="1"/>
          </reference>
          <reference field="13" count="0"/>
        </references>
      </pivotArea>
    </format>
    <format dxfId="203">
      <pivotArea dataOnly="0" labelOnly="1" outline="0" fieldPosition="0">
        <references count="2">
          <reference field="8" count="1" selected="0">
            <x v="1"/>
          </reference>
          <reference field="13" count="0" defaultSubtotal="1"/>
        </references>
      </pivotArea>
    </format>
    <format dxfId="204">
      <pivotArea dataOnly="0" labelOnly="1" outline="0" fieldPosition="0">
        <references count="2">
          <reference field="8" count="1" selected="0">
            <x v="2"/>
          </reference>
          <reference field="13" count="2">
            <x v="2"/>
            <x v="4"/>
          </reference>
        </references>
      </pivotArea>
    </format>
    <format dxfId="205">
      <pivotArea dataOnly="0" labelOnly="1" outline="0" fieldPosition="0">
        <references count="2">
          <reference field="8" count="1" selected="0">
            <x v="2"/>
          </reference>
          <reference field="13" count="2" defaultSubtotal="1">
            <x v="2"/>
            <x v="4"/>
          </reference>
        </references>
      </pivotArea>
    </format>
    <format dxfId="206">
      <pivotArea dataOnly="0" labelOnly="1" outline="0" fieldPosition="0">
        <references count="3">
          <reference field="8" count="1" selected="0">
            <x v="0"/>
          </reference>
          <reference field="9" count="4">
            <x v="0"/>
            <x v="1"/>
            <x v="2"/>
            <x v="3"/>
          </reference>
          <reference field="13" count="1" selected="0">
            <x v="0"/>
          </reference>
        </references>
      </pivotArea>
    </format>
    <format dxfId="207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208">
      <pivotArea dataOnly="0" labelOnly="1" outline="0" fieldPosition="0">
        <references count="3">
          <reference field="8" count="1" selected="0">
            <x v="0"/>
          </reference>
          <reference field="9" count="4">
            <x v="0"/>
            <x v="1"/>
            <x v="3"/>
            <x v="4"/>
          </reference>
          <reference field="13" count="1" selected="0">
            <x v="2"/>
          </reference>
        </references>
      </pivotArea>
    </format>
    <format dxfId="209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3"/>
          </reference>
        </references>
      </pivotArea>
    </format>
    <format dxfId="210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4"/>
          </reference>
        </references>
      </pivotArea>
    </format>
    <format dxfId="211">
      <pivotArea dataOnly="0" labelOnly="1" outline="0" fieldPosition="0">
        <references count="3">
          <reference field="8" count="1" selected="0">
            <x v="0"/>
          </reference>
          <reference field="9" count="0"/>
          <reference field="13" count="1" selected="0">
            <x v="5"/>
          </reference>
        </references>
      </pivotArea>
    </format>
    <format dxfId="212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1"/>
            <x v="2"/>
            <x v="3"/>
          </reference>
          <reference field="13" count="1" selected="0">
            <x v="0"/>
          </reference>
        </references>
      </pivotArea>
    </format>
    <format dxfId="213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2"/>
            <x v="3"/>
            <x v="4"/>
          </reference>
          <reference field="13" count="1" selected="0">
            <x v="1"/>
          </reference>
        </references>
      </pivotArea>
    </format>
    <format dxfId="214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2"/>
          </reference>
        </references>
      </pivotArea>
    </format>
    <format dxfId="215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3"/>
          </reference>
        </references>
      </pivotArea>
    </format>
    <format dxfId="216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4"/>
          </reference>
        </references>
      </pivotArea>
    </format>
    <format dxfId="217">
      <pivotArea dataOnly="0" labelOnly="1" outline="0" fieldPosition="0">
        <references count="3">
          <reference field="8" count="1" selected="0">
            <x v="1"/>
          </reference>
          <reference field="9" count="0"/>
          <reference field="13" count="1" selected="0">
            <x v="5"/>
          </reference>
        </references>
      </pivotArea>
    </format>
    <format dxfId="218">
      <pivotArea dataOnly="0" labelOnly="1" outline="0" fieldPosition="0">
        <references count="3">
          <reference field="8" count="1" selected="0">
            <x v="2"/>
          </reference>
          <reference field="9" count="2">
            <x v="0"/>
            <x v="2"/>
          </reference>
          <reference field="13" count="1" selected="0">
            <x v="2"/>
          </reference>
        </references>
      </pivotArea>
    </format>
    <format dxfId="219">
      <pivotArea dataOnly="0" labelOnly="1" outline="0" fieldPosition="0">
        <references count="3">
          <reference field="8" count="1" selected="0">
            <x v="2"/>
          </reference>
          <reference field="9" count="1">
            <x v="1"/>
          </reference>
          <reference field="13" count="1" selected="0">
            <x v="4"/>
          </reference>
        </references>
      </pivotArea>
    </format>
    <format dxfId="220">
      <pivotArea dataOnly="0" labelOnly="1" outline="0" axis="axisValues" fieldPosition="0"/>
    </format>
    <format dxfId="221">
      <pivotArea type="all" dataOnly="0" outline="0" fieldPosition="0"/>
    </format>
    <format dxfId="222">
      <pivotArea outline="0" collapsedLevelsAreSubtotals="1" fieldPosition="0"/>
    </format>
    <format dxfId="223">
      <pivotArea field="8" type="button" dataOnly="0" labelOnly="1" outline="0" axis="axisRow" fieldPosition="0"/>
    </format>
    <format dxfId="224">
      <pivotArea field="13" type="button" dataOnly="0" labelOnly="1" outline="0" axis="axisRow" fieldPosition="1"/>
    </format>
    <format dxfId="225">
      <pivotArea field="9" type="button" dataOnly="0" labelOnly="1" outline="0" axis="axisRow" fieldPosition="2"/>
    </format>
    <format dxfId="226">
      <pivotArea dataOnly="0" labelOnly="1" outline="0" fieldPosition="0">
        <references count="1">
          <reference field="8" count="2">
            <x v="0"/>
            <x v="1"/>
          </reference>
        </references>
      </pivotArea>
    </format>
    <format dxfId="227">
      <pivotArea dataOnly="0" labelOnly="1" outline="0" fieldPosition="0">
        <references count="1">
          <reference field="8" count="2" defaultSubtotal="1">
            <x v="0"/>
            <x v="1"/>
          </reference>
        </references>
      </pivotArea>
    </format>
    <format dxfId="228">
      <pivotArea dataOnly="0" labelOnly="1" grandRow="1" outline="0" fieldPosition="0"/>
    </format>
    <format dxfId="229">
      <pivotArea dataOnly="0" labelOnly="1" outline="0" fieldPosition="0">
        <references count="2">
          <reference field="8" count="1" selected="0">
            <x v="0"/>
          </reference>
          <reference field="13" count="1">
            <x v="1"/>
          </reference>
        </references>
      </pivotArea>
    </format>
    <format dxfId="230">
      <pivotArea dataOnly="0" labelOnly="1" outline="0" fieldPosition="0">
        <references count="2">
          <reference field="8" count="1" selected="0">
            <x v="0"/>
          </reference>
          <reference field="13" count="1" defaultSubtotal="1">
            <x v="1"/>
          </reference>
        </references>
      </pivotArea>
    </format>
    <format dxfId="231">
      <pivotArea dataOnly="0" labelOnly="1" outline="0" fieldPosition="0">
        <references count="2">
          <reference field="8" count="1" selected="0">
            <x v="1"/>
          </reference>
          <reference field="13" count="0"/>
        </references>
      </pivotArea>
    </format>
    <format dxfId="232">
      <pivotArea dataOnly="0" labelOnly="1" outline="0" fieldPosition="0">
        <references count="2">
          <reference field="8" count="1" selected="0">
            <x v="1"/>
          </reference>
          <reference field="13" count="0" defaultSubtotal="1"/>
        </references>
      </pivotArea>
    </format>
    <format dxfId="233">
      <pivotArea dataOnly="0" labelOnly="1" outline="0" fieldPosition="0">
        <references count="3">
          <reference field="8" count="1" selected="0">
            <x v="0"/>
          </reference>
          <reference field="9" count="1">
            <x v="2"/>
          </reference>
          <reference field="13" count="1" selected="0">
            <x v="1"/>
          </reference>
        </references>
      </pivotArea>
    </format>
    <format dxfId="234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1"/>
            <x v="2"/>
            <x v="3"/>
          </reference>
          <reference field="13" count="1" selected="0">
            <x v="0"/>
          </reference>
        </references>
      </pivotArea>
    </format>
    <format dxfId="235">
      <pivotArea dataOnly="0" labelOnly="1" outline="0" fieldPosition="0">
        <references count="3">
          <reference field="8" count="1" selected="0">
            <x v="1"/>
          </reference>
          <reference field="9" count="3">
            <x v="2"/>
            <x v="3"/>
            <x v="4"/>
          </reference>
          <reference field="13" count="1" selected="0">
            <x v="1"/>
          </reference>
        </references>
      </pivotArea>
    </format>
    <format dxfId="236">
      <pivotArea dataOnly="0" labelOnly="1" outline="0" fieldPosition="0">
        <references count="3">
          <reference field="8" count="1" selected="0">
            <x v="1"/>
          </reference>
          <reference field="9" count="2">
            <x v="0"/>
            <x v="3"/>
          </reference>
          <reference field="13" count="1" selected="0">
            <x v="2"/>
          </reference>
        </references>
      </pivotArea>
    </format>
    <format dxfId="237">
      <pivotArea dataOnly="0" labelOnly="1" outline="0" fieldPosition="0">
        <references count="3">
          <reference field="8" count="1" selected="0">
            <x v="1"/>
          </reference>
          <reference field="9" count="2">
            <x v="1"/>
            <x v="2"/>
          </reference>
          <reference field="13" count="1" selected="0">
            <x v="3"/>
          </reference>
        </references>
      </pivotArea>
    </format>
    <format dxfId="238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1"/>
            <x v="2"/>
            <x v="3"/>
          </reference>
          <reference field="13" count="1" selected="0">
            <x v="4"/>
          </reference>
        </references>
      </pivotArea>
    </format>
    <format dxfId="239">
      <pivotArea dataOnly="0" labelOnly="1" outline="0" fieldPosition="0">
        <references count="3">
          <reference field="8" count="1" selected="0">
            <x v="1"/>
          </reference>
          <reference field="9" count="1">
            <x v="1"/>
          </reference>
          <reference field="13" count="1" selected="0">
            <x v="5"/>
          </reference>
        </references>
      </pivotArea>
    </format>
    <format dxfId="240">
      <pivotArea dataOnly="0" labelOnly="1" outline="0" axis="axisValues" fieldPosition="0"/>
    </format>
    <format dxfId="241">
      <pivotArea type="all" dataOnly="0" outline="0" fieldPosition="0"/>
    </format>
    <format dxfId="242">
      <pivotArea outline="0" collapsedLevelsAreSubtotals="1" fieldPosition="0"/>
    </format>
    <format dxfId="243">
      <pivotArea field="8" type="button" dataOnly="0" labelOnly="1" outline="0" axis="axisRow" fieldPosition="0"/>
    </format>
    <format dxfId="244">
      <pivotArea field="13" type="button" dataOnly="0" labelOnly="1" outline="0" axis="axisRow" fieldPosition="1"/>
    </format>
    <format dxfId="245">
      <pivotArea field="9" type="button" dataOnly="0" labelOnly="1" outline="0" axis="axisRow" fieldPosition="2"/>
    </format>
    <format dxfId="246">
      <pivotArea dataOnly="0" labelOnly="1" outline="0" fieldPosition="0">
        <references count="1">
          <reference field="8" count="2">
            <x v="0"/>
            <x v="1"/>
          </reference>
        </references>
      </pivotArea>
    </format>
    <format dxfId="247">
      <pivotArea dataOnly="0" labelOnly="1" outline="0" fieldPosition="0">
        <references count="1">
          <reference field="8" count="2" defaultSubtotal="1">
            <x v="0"/>
            <x v="1"/>
          </reference>
        </references>
      </pivotArea>
    </format>
    <format dxfId="248">
      <pivotArea dataOnly="0" labelOnly="1" grandRow="1" outline="0" fieldPosition="0"/>
    </format>
    <format dxfId="249">
      <pivotArea dataOnly="0" labelOnly="1" outline="0" fieldPosition="0">
        <references count="2">
          <reference field="8" count="1" selected="0">
            <x v="0"/>
          </reference>
          <reference field="13" count="1">
            <x v="1"/>
          </reference>
        </references>
      </pivotArea>
    </format>
    <format dxfId="250">
      <pivotArea dataOnly="0" labelOnly="1" outline="0" fieldPosition="0">
        <references count="2">
          <reference field="8" count="1" selected="0">
            <x v="0"/>
          </reference>
          <reference field="13" count="1" defaultSubtotal="1">
            <x v="1"/>
          </reference>
        </references>
      </pivotArea>
    </format>
    <format dxfId="251">
      <pivotArea dataOnly="0" labelOnly="1" outline="0" fieldPosition="0">
        <references count="2">
          <reference field="8" count="1" selected="0">
            <x v="1"/>
          </reference>
          <reference field="13" count="0"/>
        </references>
      </pivotArea>
    </format>
    <format dxfId="252">
      <pivotArea dataOnly="0" labelOnly="1" outline="0" fieldPosition="0">
        <references count="2">
          <reference field="8" count="1" selected="0">
            <x v="1"/>
          </reference>
          <reference field="13" count="0" defaultSubtotal="1"/>
        </references>
      </pivotArea>
    </format>
    <format dxfId="253">
      <pivotArea dataOnly="0" labelOnly="1" outline="0" fieldPosition="0">
        <references count="3">
          <reference field="8" count="1" selected="0">
            <x v="0"/>
          </reference>
          <reference field="9" count="1">
            <x v="2"/>
          </reference>
          <reference field="13" count="1" selected="0">
            <x v="1"/>
          </reference>
        </references>
      </pivotArea>
    </format>
    <format dxfId="254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1"/>
            <x v="2"/>
            <x v="3"/>
          </reference>
          <reference field="13" count="1" selected="0">
            <x v="0"/>
          </reference>
        </references>
      </pivotArea>
    </format>
    <format dxfId="255">
      <pivotArea dataOnly="0" labelOnly="1" outline="0" fieldPosition="0">
        <references count="3">
          <reference field="8" count="1" selected="0">
            <x v="1"/>
          </reference>
          <reference field="9" count="3">
            <x v="2"/>
            <x v="3"/>
            <x v="4"/>
          </reference>
          <reference field="13" count="1" selected="0">
            <x v="1"/>
          </reference>
        </references>
      </pivotArea>
    </format>
    <format dxfId="256">
      <pivotArea dataOnly="0" labelOnly="1" outline="0" fieldPosition="0">
        <references count="3">
          <reference field="8" count="1" selected="0">
            <x v="1"/>
          </reference>
          <reference field="9" count="2">
            <x v="0"/>
            <x v="3"/>
          </reference>
          <reference field="13" count="1" selected="0">
            <x v="2"/>
          </reference>
        </references>
      </pivotArea>
    </format>
    <format dxfId="257">
      <pivotArea dataOnly="0" labelOnly="1" outline="0" fieldPosition="0">
        <references count="3">
          <reference field="8" count="1" selected="0">
            <x v="1"/>
          </reference>
          <reference field="9" count="2">
            <x v="1"/>
            <x v="2"/>
          </reference>
          <reference field="13" count="1" selected="0">
            <x v="3"/>
          </reference>
        </references>
      </pivotArea>
    </format>
    <format dxfId="258">
      <pivotArea dataOnly="0" labelOnly="1" outline="0" fieldPosition="0">
        <references count="3">
          <reference field="8" count="1" selected="0">
            <x v="1"/>
          </reference>
          <reference field="9" count="4">
            <x v="0"/>
            <x v="1"/>
            <x v="2"/>
            <x v="3"/>
          </reference>
          <reference field="13" count="1" selected="0">
            <x v="4"/>
          </reference>
        </references>
      </pivotArea>
    </format>
    <format dxfId="259">
      <pivotArea dataOnly="0" labelOnly="1" outline="0" fieldPosition="0">
        <references count="3">
          <reference field="8" count="1" selected="0">
            <x v="1"/>
          </reference>
          <reference field="9" count="1">
            <x v="1"/>
          </reference>
          <reference field="13" count="1" selected="0">
            <x v="5"/>
          </reference>
        </references>
      </pivotArea>
    </format>
    <format dxfId="26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1" xr10:uid="{E3F46792-1D26-414D-AED5-54EA5A401F46}" sourceName="PAYMENT METHOD ">
  <pivotTables>
    <pivotTable tabId="6" name="PivotTable1"/>
    <pivotTable tabId="3" name="PivotTable1"/>
  </pivotTables>
  <data>
    <tabular pivotCacheId="720258121">
      <items count="6">
        <i x="3" s="1"/>
        <i x="1" s="1"/>
        <i x="2" s="1"/>
        <i x="4" s="1"/>
        <i x="0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" xr10:uid="{742D1A30-A9E0-4A78-8A3B-96414B074FF3}" sourceName="AGE">
  <pivotTables>
    <pivotTable tabId="3" name="PivotTable1"/>
  </pivotTables>
  <data>
    <tabular pivotCacheId="720258121">
      <items count="28">
        <i x="0" s="1"/>
        <i x="6" s="1"/>
        <i x="18" s="1"/>
        <i x="4" s="1"/>
        <i x="11" s="1"/>
        <i x="2" s="1"/>
        <i x="21" s="1"/>
        <i x="13" s="1"/>
        <i x="22" s="1"/>
        <i x="25" s="1"/>
        <i x="5" s="1"/>
        <i x="19" s="1"/>
        <i x="9" s="1" nd="1"/>
        <i x="20" s="1" nd="1"/>
        <i x="3" s="1" nd="1"/>
        <i x="14" s="1" nd="1"/>
        <i x="16" s="1" nd="1"/>
        <i x="1" s="1" nd="1"/>
        <i x="12" s="1" nd="1"/>
        <i x="8" s="1" nd="1"/>
        <i x="15" s="1" nd="1"/>
        <i x="24" s="1" nd="1"/>
        <i x="7" s="1" nd="1"/>
        <i x="17" s="1" nd="1"/>
        <i x="26" s="1" nd="1"/>
        <i x="27" s="1" nd="1"/>
        <i x="10" s="1" nd="1"/>
        <i x="2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DUCT" xr10:uid="{F46F663E-FA41-4059-8D05-6D40C5EEBEFD}" sourceName="PRDUCT ">
  <pivotTables>
    <pivotTable tabId="3" name="PivotTable1"/>
  </pivotTables>
  <data>
    <tabular pivotCacheId="720258121">
      <items count="9">
        <i x="8"/>
        <i x="2"/>
        <i x="5" s="1"/>
        <i x="1"/>
        <i x="3"/>
        <i x="6"/>
        <i x="4"/>
        <i x="7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BRAND" xr10:uid="{C314408D-CD4D-4F27-B019-44FE7F781412}" sourceName="BRAND">
  <pivotTables>
    <pivotTable tabId="3" name="PivotTable1"/>
    <pivotTable tabId="4" name="PivotTable3"/>
    <pivotTable tabId="5" name="PivotTable4"/>
    <pivotTable tabId="6" name="PivotTable1"/>
    <pivotTable tabId="7" name="PivotTable1"/>
    <pivotTable tabId="8" name="PivotTable1"/>
  </pivotTables>
  <data>
    <tabular pivotCacheId="720258121">
      <items count="20">
        <i x="7" s="1"/>
        <i x="13" s="1"/>
        <i x="16" s="1"/>
        <i x="4" s="1"/>
        <i x="9" s="1"/>
        <i x="18" s="1"/>
        <i x="1" s="1"/>
        <i x="10" s="1"/>
        <i x="17" s="1"/>
        <i x="5" s="1"/>
        <i x="19" s="1"/>
        <i x="8" s="1"/>
        <i x="3" s="1"/>
        <i x="12" s="1"/>
        <i x="2" s="1"/>
        <i x="11" s="1"/>
        <i x="14" s="1"/>
        <i x="0" s="1"/>
        <i x="6" s="1"/>
        <i x="1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IZE1" xr10:uid="{F9D9446F-67AA-4C8D-9134-1A9BCC2B7E6F}" sourceName="SIZE">
  <pivotTables>
    <pivotTable tabId="3" name="PivotTable1"/>
  </pivotTables>
  <data>
    <tabular pivotCacheId="720258121">
      <items count="5">
        <i x="1" s="1"/>
        <i x="0" s="1"/>
        <i x="3" s="1"/>
        <i x="2" s="1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QUANTITY" xr10:uid="{72091D2C-2441-4B01-80F6-D74ADD37FAC2}" sourceName="QUANTITY">
  <pivotTables>
    <pivotTable tabId="3" name="PivotTable1"/>
  </pivotTables>
  <data>
    <tabular pivotCacheId="720258121">
      <items count="4">
        <i x="0" s="1"/>
        <i x="1" s="1"/>
        <i x="2" s="1"/>
        <i x="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56C5F9AA-3AB5-4846-A3FB-245F85AF47D1}" sourceName="PAYMENT METHOD ">
  <extLst>
    <x:ext xmlns:x15="http://schemas.microsoft.com/office/spreadsheetml/2010/11/main" uri="{2F2917AC-EB37-4324-AD4E-5DD8C200BD13}">
      <x15:tableSlicerCache tableId="1" column="15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IZE" xr10:uid="{0721754A-9288-453E-B6A8-28D6A23881AE}" sourceName="SIZE">
  <extLst>
    <x:ext xmlns:x15="http://schemas.microsoft.com/office/spreadsheetml/2010/11/main" uri="{2F2917AC-EB37-4324-AD4E-5DD8C200BD13}">
      <x15:tableSlicerCache tableId="1" column="1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 METHOD  1" xr10:uid="{031E9798-2C21-4EEE-886B-C1A820AF54B0}" cache="Slicer_PAYMENT_METHOD1" caption="PAYMENT METHOD 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 METHOD " xr10:uid="{50B4CD85-6825-4BB2-9435-7BFB0091370C}" cache="Slicer_PAYMENT_METHOD" caption="PAYMENT METHOD " rowHeight="228600"/>
  <slicer name="SIZE" xr10:uid="{1CBB2107-3EC5-4826-82AB-703FFDB1B59F}" cache="Slicer_SIZE" caption="SIZE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 METHOD  2" xr10:uid="{E51F8832-7F98-4EEC-9E09-1A8D70D940E0}" cache="Slicer_PAYMENT_METHOD1" caption="PAYMENT METHOD " rowHeight="228600"/>
  <slicer name="AGE" xr10:uid="{A9AAEDE9-9498-4665-8EE6-9C616BA9310B}" cache="Slicer_AGE" caption="AGE" startItem="19" rowHeight="228600"/>
  <slicer name="PRDUCT " xr10:uid="{68A3B0B3-9F14-40E7-BA7F-A092758FC94F}" cache="Slicer_PRDUCT" caption="PRDUCT " rowHeight="228600"/>
  <slicer name="BRAND" xr10:uid="{4190D698-9D52-450A-AB76-26CEB823602B}" cache="Slicer_BRAND" caption="BRAND" rowHeight="228600"/>
  <slicer name="SIZE 1" xr10:uid="{45250AA5-185F-4629-96FE-44B1E55B911D}" cache="Slicer_SIZE1" caption="SIZE" columnCount="5" rowHeight="228600"/>
  <slicer name="QUANTITY" xr10:uid="{E86B6275-CCED-489A-BF8B-641B97F5E54F}" cache="Slicer_QUANTITY" caption="QUANTITY" columnCount="4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0CDBF-5462-4CE1-B270-E259B660B1E3}" name="Table1" displayName="Table1" ref="A1:O201" totalsRowShown="0" headerRowDxfId="17" dataDxfId="16" tableBorderDxfId="15">
  <autoFilter ref="A1:O201" xr:uid="{CD40CDBF-5462-4CE1-B270-E259B660B1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DE14AB6-F4E4-40F8-8EAD-A222487EDF55}" name="S.NO " dataDxfId="14"/>
    <tableColumn id="2" xr3:uid="{B6AE7A28-C424-402C-92FD-8BAAF27A48A0}" name="CUSTOMER ID " dataDxfId="13"/>
    <tableColumn id="3" xr3:uid="{6CCDCF70-E865-4DFC-88EC-2CC94EADDC22}" name="ORDER DATE " dataDxfId="12"/>
    <tableColumn id="4" xr3:uid="{FC49FFE0-3523-40AE-BD6E-E3691810AF46}" name="AGE" dataDxfId="11"/>
    <tableColumn id="5" xr3:uid="{E864B849-CA67-40F7-AB48-A47F203E1BDB}" name="NAME" dataDxfId="10"/>
    <tableColumn id="6" xr3:uid="{7CEC611C-F7FC-4E7F-B08A-BDD4E5E6830D}" name="CITY" dataDxfId="9"/>
    <tableColumn id="7" xr3:uid="{A4BBC7F5-3A30-47A5-9B5F-6E228092FF68}" name="PRDUCT " dataDxfId="8"/>
    <tableColumn id="8" xr3:uid="{07C09091-0799-4D3F-850E-65AD0B6BC827}" name="BRAND" dataDxfId="7"/>
    <tableColumn id="14" xr3:uid="{06C15216-C2A8-4416-8489-BA34C3033C3D}" name="GENDER" dataDxfId="6"/>
    <tableColumn id="10" xr3:uid="{44ACD1D3-D8F4-48F3-9121-760526F1464A}" name="SIZE" dataDxfId="5"/>
    <tableColumn id="11" xr3:uid="{F68145EC-A96F-4114-95EE-2C9506774D36}" name="COLOR" dataDxfId="4"/>
    <tableColumn id="12" xr3:uid="{AC582FA3-E9C7-4F9B-BE05-BE8F335BD951}" name="QUANTITY" dataDxfId="3"/>
    <tableColumn id="13" xr3:uid="{91C3ED48-89BA-413B-97B8-0C672D53EC13}" name="PRICE UNIT" dataDxfId="2"/>
    <tableColumn id="15" xr3:uid="{EC6000F9-C1FB-455B-8356-1E94DA1206B8}" name="PAYMENT METHOD " dataDxfId="1"/>
    <tableColumn id="16" xr3:uid="{2498411D-5941-42CB-8E52-632FB7E6D458}" name="TOTAL AMOUNT " dataDxfId="0">
      <calculatedColumnFormula>Table1[[#This Row],[PRICE UNIT]]*Table1[[#This Row],[QUANTITY]]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504E-FC91-4118-97F2-FA5E368DFDFB}">
  <dimension ref="A1:H156"/>
  <sheetViews>
    <sheetView workbookViewId="0">
      <selection activeCell="F14" sqref="F14"/>
    </sheetView>
  </sheetViews>
  <sheetFormatPr defaultRowHeight="15"/>
  <cols>
    <col min="1" max="1" width="12" bestFit="1" customWidth="1"/>
    <col min="2" max="2" width="13.42578125" bestFit="1" customWidth="1"/>
    <col min="3" max="3" width="23.5703125" bestFit="1" customWidth="1"/>
    <col min="4" max="4" width="17.5703125" bestFit="1" customWidth="1"/>
    <col min="5" max="5" width="26.85546875" bestFit="1" customWidth="1"/>
    <col min="6" max="6" width="19.7109375" customWidth="1"/>
    <col min="7" max="7" width="17.7109375" customWidth="1"/>
    <col min="8" max="8" width="24.7109375" bestFit="1" customWidth="1"/>
  </cols>
  <sheetData>
    <row r="1" spans="1:8" ht="15.75">
      <c r="D1" s="28"/>
      <c r="E1" s="29" t="s">
        <v>0</v>
      </c>
      <c r="F1" s="30" t="s">
        <v>1</v>
      </c>
      <c r="G1" s="29" t="s">
        <v>2</v>
      </c>
      <c r="H1" s="29" t="s">
        <v>3</v>
      </c>
    </row>
    <row r="2" spans="1:8" ht="26.25">
      <c r="E2" s="31">
        <f>SUM(B3:B12)</f>
        <v>0</v>
      </c>
      <c r="F2" s="32">
        <f>SUM(C4:C12)</f>
        <v>41282</v>
      </c>
      <c r="G2" s="33">
        <f>COUNTA(Sheet1!A:A)-1</f>
        <v>200</v>
      </c>
      <c r="H2" s="31">
        <f>E2/G2</f>
        <v>0</v>
      </c>
    </row>
    <row r="3" spans="1:8">
      <c r="A3" s="27" t="s">
        <v>4</v>
      </c>
      <c r="B3" s="27" t="s">
        <v>5</v>
      </c>
      <c r="C3" t="s">
        <v>6</v>
      </c>
      <c r="D3" t="s">
        <v>7</v>
      </c>
    </row>
    <row r="4" spans="1:8">
      <c r="A4" t="s">
        <v>8</v>
      </c>
      <c r="B4" t="s">
        <v>9</v>
      </c>
      <c r="C4" s="26">
        <v>4598</v>
      </c>
      <c r="D4" s="26">
        <v>2</v>
      </c>
    </row>
    <row r="5" spans="1:8">
      <c r="B5" t="s">
        <v>10</v>
      </c>
      <c r="C5" s="26">
        <v>6998</v>
      </c>
      <c r="D5" s="26">
        <v>2</v>
      </c>
    </row>
    <row r="6" spans="1:8">
      <c r="B6" t="s">
        <v>11</v>
      </c>
      <c r="C6" s="26">
        <v>2798</v>
      </c>
      <c r="D6" s="26">
        <v>2</v>
      </c>
    </row>
    <row r="7" spans="1:8">
      <c r="B7" t="s">
        <v>12</v>
      </c>
      <c r="C7" s="26">
        <v>1199</v>
      </c>
      <c r="D7" s="26">
        <v>1</v>
      </c>
    </row>
    <row r="8" spans="1:8">
      <c r="B8" t="s">
        <v>13</v>
      </c>
      <c r="C8" s="26">
        <v>7497</v>
      </c>
      <c r="D8" s="26">
        <v>3</v>
      </c>
    </row>
    <row r="9" spans="1:8">
      <c r="B9" t="s">
        <v>14</v>
      </c>
      <c r="C9" s="26">
        <v>799</v>
      </c>
      <c r="D9" s="26">
        <v>1</v>
      </c>
    </row>
    <row r="10" spans="1:8">
      <c r="B10" t="s">
        <v>15</v>
      </c>
      <c r="C10" s="26">
        <v>10497</v>
      </c>
      <c r="D10" s="26">
        <v>3</v>
      </c>
    </row>
    <row r="11" spans="1:8">
      <c r="B11" t="s">
        <v>16</v>
      </c>
      <c r="C11" s="26">
        <v>1199</v>
      </c>
      <c r="D11" s="26">
        <v>1</v>
      </c>
    </row>
    <row r="12" spans="1:8">
      <c r="B12" t="s">
        <v>17</v>
      </c>
      <c r="C12" s="26">
        <v>5697</v>
      </c>
      <c r="D12" s="26">
        <v>3</v>
      </c>
    </row>
    <row r="13" spans="1:8">
      <c r="B13" t="s">
        <v>18</v>
      </c>
      <c r="C13" s="26">
        <v>8997</v>
      </c>
      <c r="D13" s="26">
        <v>3</v>
      </c>
    </row>
    <row r="14" spans="1:8">
      <c r="B14" t="s">
        <v>19</v>
      </c>
      <c r="C14" s="26">
        <v>4598</v>
      </c>
      <c r="D14" s="26">
        <v>2</v>
      </c>
    </row>
    <row r="15" spans="1:8">
      <c r="B15" t="s">
        <v>20</v>
      </c>
      <c r="C15" s="26">
        <v>998</v>
      </c>
      <c r="D15" s="26">
        <v>2</v>
      </c>
    </row>
    <row r="16" spans="1:8">
      <c r="B16" t="s">
        <v>21</v>
      </c>
      <c r="C16" s="26">
        <v>1999</v>
      </c>
      <c r="D16" s="26">
        <v>1</v>
      </c>
    </row>
    <row r="17" spans="1:4">
      <c r="B17" t="s">
        <v>22</v>
      </c>
      <c r="C17" s="26">
        <v>1398</v>
      </c>
      <c r="D17" s="26">
        <v>2</v>
      </c>
    </row>
    <row r="18" spans="1:4">
      <c r="B18" t="s">
        <v>23</v>
      </c>
      <c r="C18" s="26">
        <v>1798</v>
      </c>
      <c r="D18" s="26">
        <v>2</v>
      </c>
    </row>
    <row r="19" spans="1:4">
      <c r="B19" t="s">
        <v>24</v>
      </c>
      <c r="C19" s="26">
        <v>2599</v>
      </c>
      <c r="D19" s="26">
        <v>1</v>
      </c>
    </row>
    <row r="20" spans="1:4">
      <c r="B20" t="s">
        <v>25</v>
      </c>
      <c r="C20" s="26">
        <v>999</v>
      </c>
      <c r="D20" s="26">
        <v>1</v>
      </c>
    </row>
    <row r="21" spans="1:4">
      <c r="B21" t="s">
        <v>26</v>
      </c>
      <c r="C21" s="26">
        <v>2598</v>
      </c>
      <c r="D21" s="26">
        <v>2</v>
      </c>
    </row>
    <row r="22" spans="1:4">
      <c r="B22" t="s">
        <v>27</v>
      </c>
      <c r="C22" s="26">
        <v>1499</v>
      </c>
      <c r="D22" s="26">
        <v>1</v>
      </c>
    </row>
    <row r="23" spans="1:4">
      <c r="B23" t="s">
        <v>28</v>
      </c>
      <c r="C23" s="26">
        <v>7497</v>
      </c>
      <c r="D23" s="26">
        <v>3</v>
      </c>
    </row>
    <row r="24" spans="1:4">
      <c r="A24" t="s">
        <v>29</v>
      </c>
      <c r="C24" s="26">
        <v>76262</v>
      </c>
      <c r="D24" s="26">
        <v>38</v>
      </c>
    </row>
    <row r="25" spans="1:4">
      <c r="A25" t="s">
        <v>30</v>
      </c>
      <c r="B25" t="s">
        <v>11</v>
      </c>
      <c r="C25" s="26">
        <v>2298</v>
      </c>
      <c r="D25" s="26">
        <v>2</v>
      </c>
    </row>
    <row r="26" spans="1:4">
      <c r="B26" t="s">
        <v>12</v>
      </c>
      <c r="C26" s="26">
        <v>7195</v>
      </c>
      <c r="D26" s="26">
        <v>5</v>
      </c>
    </row>
    <row r="27" spans="1:4">
      <c r="B27" t="s">
        <v>14</v>
      </c>
      <c r="C27" s="26">
        <v>4995</v>
      </c>
      <c r="D27" s="26">
        <v>5</v>
      </c>
    </row>
    <row r="28" spans="1:4">
      <c r="B28" t="s">
        <v>16</v>
      </c>
      <c r="C28" s="26">
        <v>4496</v>
      </c>
      <c r="D28" s="26">
        <v>4</v>
      </c>
    </row>
    <row r="29" spans="1:4">
      <c r="B29" t="s">
        <v>20</v>
      </c>
      <c r="C29" s="26">
        <v>4596</v>
      </c>
      <c r="D29" s="26">
        <v>4</v>
      </c>
    </row>
    <row r="30" spans="1:4">
      <c r="B30" t="s">
        <v>22</v>
      </c>
      <c r="C30" s="26">
        <v>4797</v>
      </c>
      <c r="D30" s="26">
        <v>3</v>
      </c>
    </row>
    <row r="31" spans="1:4">
      <c r="B31" t="s">
        <v>23</v>
      </c>
      <c r="C31" s="26">
        <v>3896</v>
      </c>
      <c r="D31" s="26">
        <v>4</v>
      </c>
    </row>
    <row r="32" spans="1:4">
      <c r="B32" t="s">
        <v>25</v>
      </c>
      <c r="C32" s="26">
        <v>5495</v>
      </c>
      <c r="D32" s="26">
        <v>5</v>
      </c>
    </row>
    <row r="33" spans="1:4">
      <c r="B33" t="s">
        <v>26</v>
      </c>
      <c r="C33" s="26">
        <v>3098</v>
      </c>
      <c r="D33" s="26">
        <v>2</v>
      </c>
    </row>
    <row r="34" spans="1:4">
      <c r="B34" t="s">
        <v>27</v>
      </c>
      <c r="C34" s="26">
        <v>2597</v>
      </c>
      <c r="D34" s="26">
        <v>3</v>
      </c>
    </row>
    <row r="35" spans="1:4">
      <c r="A35" t="s">
        <v>31</v>
      </c>
      <c r="C35" s="26">
        <v>43463</v>
      </c>
      <c r="D35" s="26">
        <v>37</v>
      </c>
    </row>
    <row r="36" spans="1:4">
      <c r="A36" t="s">
        <v>32</v>
      </c>
      <c r="B36" t="s">
        <v>9</v>
      </c>
      <c r="C36" s="26">
        <v>5498</v>
      </c>
      <c r="D36" s="26">
        <v>2</v>
      </c>
    </row>
    <row r="37" spans="1:4">
      <c r="B37" t="s">
        <v>10</v>
      </c>
      <c r="C37" s="26">
        <v>19392</v>
      </c>
      <c r="D37" s="26">
        <v>8</v>
      </c>
    </row>
    <row r="38" spans="1:4">
      <c r="B38" t="s">
        <v>11</v>
      </c>
      <c r="C38" s="26">
        <v>1599</v>
      </c>
      <c r="D38" s="26">
        <v>1</v>
      </c>
    </row>
    <row r="39" spans="1:4">
      <c r="B39" t="s">
        <v>13</v>
      </c>
      <c r="C39" s="26">
        <v>3499</v>
      </c>
      <c r="D39" s="26">
        <v>1</v>
      </c>
    </row>
    <row r="40" spans="1:4">
      <c r="B40" t="s">
        <v>15</v>
      </c>
      <c r="C40" s="26">
        <v>12695</v>
      </c>
      <c r="D40" s="26">
        <v>5</v>
      </c>
    </row>
    <row r="41" spans="1:4">
      <c r="B41" t="s">
        <v>16</v>
      </c>
      <c r="C41" s="26">
        <v>1398</v>
      </c>
      <c r="D41" s="26">
        <v>2</v>
      </c>
    </row>
    <row r="42" spans="1:4">
      <c r="B42" t="s">
        <v>17</v>
      </c>
      <c r="C42" s="26">
        <v>8397</v>
      </c>
      <c r="D42" s="26">
        <v>3</v>
      </c>
    </row>
    <row r="43" spans="1:4">
      <c r="B43" t="s">
        <v>18</v>
      </c>
      <c r="C43" s="26">
        <v>25091</v>
      </c>
      <c r="D43" s="26">
        <v>9</v>
      </c>
    </row>
    <row r="44" spans="1:4">
      <c r="B44" t="s">
        <v>19</v>
      </c>
      <c r="C44" s="26">
        <v>2199</v>
      </c>
      <c r="D44" s="26">
        <v>1</v>
      </c>
    </row>
    <row r="45" spans="1:4">
      <c r="B45" t="s">
        <v>22</v>
      </c>
      <c r="C45" s="26">
        <v>1299</v>
      </c>
      <c r="D45" s="26">
        <v>1</v>
      </c>
    </row>
    <row r="46" spans="1:4">
      <c r="B46" t="s">
        <v>24</v>
      </c>
      <c r="C46" s="26">
        <v>1799</v>
      </c>
      <c r="D46" s="26">
        <v>1</v>
      </c>
    </row>
    <row r="47" spans="1:4">
      <c r="B47" t="s">
        <v>26</v>
      </c>
      <c r="C47" s="26">
        <v>2796</v>
      </c>
      <c r="D47" s="26">
        <v>4</v>
      </c>
    </row>
    <row r="48" spans="1:4">
      <c r="B48" t="s">
        <v>27</v>
      </c>
      <c r="C48" s="26">
        <v>3996</v>
      </c>
      <c r="D48" s="26">
        <v>4</v>
      </c>
    </row>
    <row r="49" spans="1:4">
      <c r="A49" t="s">
        <v>33</v>
      </c>
      <c r="C49" s="26">
        <v>89658</v>
      </c>
      <c r="D49" s="26">
        <v>42</v>
      </c>
    </row>
    <row r="50" spans="1:4">
      <c r="A50" t="s">
        <v>34</v>
      </c>
      <c r="B50" t="s">
        <v>9</v>
      </c>
      <c r="C50" s="26">
        <v>5697</v>
      </c>
      <c r="D50" s="26">
        <v>3</v>
      </c>
    </row>
    <row r="51" spans="1:4">
      <c r="B51" t="s">
        <v>10</v>
      </c>
      <c r="C51" s="26">
        <v>12396</v>
      </c>
      <c r="D51" s="26">
        <v>4</v>
      </c>
    </row>
    <row r="52" spans="1:4">
      <c r="B52" t="s">
        <v>11</v>
      </c>
      <c r="C52" s="26">
        <v>2598</v>
      </c>
      <c r="D52" s="26">
        <v>2</v>
      </c>
    </row>
    <row r="53" spans="1:4">
      <c r="B53" t="s">
        <v>13</v>
      </c>
      <c r="C53" s="26">
        <v>8397</v>
      </c>
      <c r="D53" s="26">
        <v>3</v>
      </c>
    </row>
    <row r="54" spans="1:4">
      <c r="B54" t="s">
        <v>15</v>
      </c>
      <c r="C54" s="26">
        <v>8395</v>
      </c>
      <c r="D54" s="26">
        <v>5</v>
      </c>
    </row>
    <row r="55" spans="1:4">
      <c r="B55" t="s">
        <v>16</v>
      </c>
      <c r="C55" s="26">
        <v>1598</v>
      </c>
      <c r="D55" s="26">
        <v>2</v>
      </c>
    </row>
    <row r="56" spans="1:4">
      <c r="B56" t="s">
        <v>17</v>
      </c>
      <c r="C56" s="26">
        <v>8397</v>
      </c>
      <c r="D56" s="26">
        <v>3</v>
      </c>
    </row>
    <row r="57" spans="1:4">
      <c r="B57" t="s">
        <v>18</v>
      </c>
      <c r="C57" s="26">
        <v>2599</v>
      </c>
      <c r="D57" s="26">
        <v>1</v>
      </c>
    </row>
    <row r="58" spans="1:4">
      <c r="B58" t="s">
        <v>19</v>
      </c>
      <c r="C58" s="26">
        <v>3998</v>
      </c>
      <c r="D58" s="26">
        <v>2</v>
      </c>
    </row>
    <row r="59" spans="1:4">
      <c r="B59" t="s">
        <v>20</v>
      </c>
      <c r="C59" s="26">
        <v>2998</v>
      </c>
      <c r="D59" s="26">
        <v>2</v>
      </c>
    </row>
    <row r="60" spans="1:4">
      <c r="B60" t="s">
        <v>21</v>
      </c>
      <c r="C60" s="26">
        <v>3499</v>
      </c>
      <c r="D60" s="26">
        <v>1</v>
      </c>
    </row>
    <row r="61" spans="1:4">
      <c r="B61" t="s">
        <v>22</v>
      </c>
      <c r="C61" s="26">
        <v>1499</v>
      </c>
      <c r="D61" s="26">
        <v>1</v>
      </c>
    </row>
    <row r="62" spans="1:4">
      <c r="B62" t="s">
        <v>23</v>
      </c>
      <c r="C62" s="26">
        <v>1199</v>
      </c>
      <c r="D62" s="26">
        <v>1</v>
      </c>
    </row>
    <row r="63" spans="1:4">
      <c r="B63" t="s">
        <v>25</v>
      </c>
      <c r="C63" s="26">
        <v>9196</v>
      </c>
      <c r="D63" s="26">
        <v>4</v>
      </c>
    </row>
    <row r="64" spans="1:4">
      <c r="B64" t="s">
        <v>26</v>
      </c>
      <c r="C64" s="26">
        <v>4397</v>
      </c>
      <c r="D64" s="26">
        <v>3</v>
      </c>
    </row>
    <row r="65" spans="1:4">
      <c r="B65" t="s">
        <v>28</v>
      </c>
      <c r="C65" s="26">
        <v>3299</v>
      </c>
      <c r="D65" s="26">
        <v>1</v>
      </c>
    </row>
    <row r="66" spans="1:4">
      <c r="A66" t="s">
        <v>35</v>
      </c>
      <c r="C66" s="26">
        <v>80162</v>
      </c>
      <c r="D66" s="26">
        <v>38</v>
      </c>
    </row>
    <row r="67" spans="1:4">
      <c r="A67" t="s">
        <v>36</v>
      </c>
      <c r="B67" t="s">
        <v>11</v>
      </c>
      <c r="C67" s="26">
        <v>2598</v>
      </c>
      <c r="D67" s="26">
        <v>2</v>
      </c>
    </row>
    <row r="68" spans="1:4">
      <c r="B68" t="s">
        <v>12</v>
      </c>
      <c r="C68" s="26">
        <v>2997</v>
      </c>
      <c r="D68" s="26">
        <v>3</v>
      </c>
    </row>
    <row r="69" spans="1:4">
      <c r="B69" t="s">
        <v>13</v>
      </c>
      <c r="C69" s="26">
        <v>9897</v>
      </c>
      <c r="D69" s="26">
        <v>3</v>
      </c>
    </row>
    <row r="70" spans="1:4">
      <c r="B70" t="s">
        <v>14</v>
      </c>
      <c r="C70" s="26">
        <v>899</v>
      </c>
      <c r="D70" s="26">
        <v>1</v>
      </c>
    </row>
    <row r="71" spans="1:4">
      <c r="B71" t="s">
        <v>15</v>
      </c>
      <c r="C71" s="26">
        <v>2999</v>
      </c>
      <c r="D71" s="26">
        <v>1</v>
      </c>
    </row>
    <row r="72" spans="1:4">
      <c r="B72" t="s">
        <v>17</v>
      </c>
      <c r="C72" s="26">
        <v>3499</v>
      </c>
      <c r="D72" s="26">
        <v>1</v>
      </c>
    </row>
    <row r="73" spans="1:4">
      <c r="B73" t="s">
        <v>18</v>
      </c>
      <c r="C73" s="26">
        <v>4398</v>
      </c>
      <c r="D73" s="26">
        <v>2</v>
      </c>
    </row>
    <row r="74" spans="1:4">
      <c r="B74" t="s">
        <v>19</v>
      </c>
      <c r="C74" s="26">
        <v>5997</v>
      </c>
      <c r="D74" s="26">
        <v>3</v>
      </c>
    </row>
    <row r="75" spans="1:4">
      <c r="B75" t="s">
        <v>20</v>
      </c>
      <c r="C75" s="26">
        <v>1398</v>
      </c>
      <c r="D75" s="26">
        <v>2</v>
      </c>
    </row>
    <row r="76" spans="1:4">
      <c r="B76" t="s">
        <v>21</v>
      </c>
      <c r="C76" s="26">
        <v>7497</v>
      </c>
      <c r="D76" s="26">
        <v>3</v>
      </c>
    </row>
    <row r="77" spans="1:4">
      <c r="B77" t="s">
        <v>22</v>
      </c>
      <c r="C77" s="26">
        <v>8693</v>
      </c>
      <c r="D77" s="26">
        <v>7</v>
      </c>
    </row>
    <row r="78" spans="1:4">
      <c r="B78" t="s">
        <v>23</v>
      </c>
      <c r="C78" s="26">
        <v>1599</v>
      </c>
      <c r="D78" s="26">
        <v>1</v>
      </c>
    </row>
    <row r="79" spans="1:4">
      <c r="B79" t="s">
        <v>24</v>
      </c>
      <c r="C79" s="26">
        <v>6697</v>
      </c>
      <c r="D79" s="26">
        <v>3</v>
      </c>
    </row>
    <row r="80" spans="1:4">
      <c r="B80" t="s">
        <v>25</v>
      </c>
      <c r="C80" s="26">
        <v>1598</v>
      </c>
      <c r="D80" s="26">
        <v>2</v>
      </c>
    </row>
    <row r="81" spans="1:4">
      <c r="B81" t="s">
        <v>27</v>
      </c>
      <c r="C81" s="26">
        <v>999</v>
      </c>
      <c r="D81" s="26">
        <v>1</v>
      </c>
    </row>
    <row r="82" spans="1:4">
      <c r="B82" t="s">
        <v>28</v>
      </c>
      <c r="C82" s="26">
        <v>5998</v>
      </c>
      <c r="D82" s="26">
        <v>2</v>
      </c>
    </row>
    <row r="83" spans="1:4">
      <c r="A83" t="s">
        <v>37</v>
      </c>
      <c r="C83" s="26">
        <v>67763</v>
      </c>
      <c r="D83" s="26">
        <v>37</v>
      </c>
    </row>
    <row r="84" spans="1:4">
      <c r="A84" t="s">
        <v>38</v>
      </c>
      <c r="B84" t="s">
        <v>10</v>
      </c>
      <c r="C84" s="26">
        <v>1399</v>
      </c>
      <c r="D84" s="26">
        <v>1</v>
      </c>
    </row>
    <row r="85" spans="1:4">
      <c r="B85" t="s">
        <v>11</v>
      </c>
      <c r="C85" s="26">
        <v>1599</v>
      </c>
      <c r="D85" s="26">
        <v>1</v>
      </c>
    </row>
    <row r="86" spans="1:4">
      <c r="B86" t="s">
        <v>13</v>
      </c>
      <c r="C86" s="26">
        <v>2599</v>
      </c>
      <c r="D86" s="26">
        <v>1</v>
      </c>
    </row>
    <row r="87" spans="1:4">
      <c r="B87" t="s">
        <v>14</v>
      </c>
      <c r="C87" s="26">
        <v>699</v>
      </c>
      <c r="D87" s="26">
        <v>1</v>
      </c>
    </row>
    <row r="88" spans="1:4">
      <c r="B88" t="s">
        <v>15</v>
      </c>
      <c r="C88" s="26">
        <v>7497</v>
      </c>
      <c r="D88" s="26">
        <v>3</v>
      </c>
    </row>
    <row r="89" spans="1:4">
      <c r="B89" t="s">
        <v>16</v>
      </c>
      <c r="C89" s="26">
        <v>3196</v>
      </c>
      <c r="D89" s="26">
        <v>4</v>
      </c>
    </row>
    <row r="90" spans="1:4">
      <c r="B90" t="s">
        <v>17</v>
      </c>
      <c r="C90" s="26">
        <v>16794</v>
      </c>
      <c r="D90" s="26">
        <v>6</v>
      </c>
    </row>
    <row r="91" spans="1:4">
      <c r="B91" t="s">
        <v>18</v>
      </c>
      <c r="C91" s="26">
        <v>2799</v>
      </c>
      <c r="D91" s="26">
        <v>1</v>
      </c>
    </row>
    <row r="92" spans="1:4">
      <c r="B92" t="s">
        <v>19</v>
      </c>
      <c r="C92" s="26">
        <v>1799</v>
      </c>
      <c r="D92" s="26">
        <v>1</v>
      </c>
    </row>
    <row r="93" spans="1:4">
      <c r="B93" t="s">
        <v>20</v>
      </c>
      <c r="C93" s="26">
        <v>1399</v>
      </c>
      <c r="D93" s="26">
        <v>1</v>
      </c>
    </row>
    <row r="94" spans="1:4">
      <c r="B94" t="s">
        <v>21</v>
      </c>
      <c r="C94" s="26">
        <v>6397</v>
      </c>
      <c r="D94" s="26">
        <v>3</v>
      </c>
    </row>
    <row r="95" spans="1:4">
      <c r="B95" t="s">
        <v>23</v>
      </c>
      <c r="C95" s="26">
        <v>3897</v>
      </c>
      <c r="D95" s="26">
        <v>3</v>
      </c>
    </row>
    <row r="96" spans="1:4">
      <c r="B96" t="s">
        <v>24</v>
      </c>
      <c r="C96" s="26">
        <v>6397</v>
      </c>
      <c r="D96" s="26">
        <v>3</v>
      </c>
    </row>
    <row r="97" spans="1:4">
      <c r="B97" t="s">
        <v>25</v>
      </c>
      <c r="C97" s="26">
        <v>2697</v>
      </c>
      <c r="D97" s="26">
        <v>3</v>
      </c>
    </row>
    <row r="98" spans="1:4">
      <c r="B98" t="s">
        <v>27</v>
      </c>
      <c r="C98" s="26">
        <v>2597</v>
      </c>
      <c r="D98" s="26">
        <v>3</v>
      </c>
    </row>
    <row r="99" spans="1:4">
      <c r="B99" t="s">
        <v>28</v>
      </c>
      <c r="C99" s="26">
        <v>1999</v>
      </c>
      <c r="D99" s="26">
        <v>1</v>
      </c>
    </row>
    <row r="100" spans="1:4">
      <c r="A100" t="s">
        <v>39</v>
      </c>
      <c r="C100" s="26">
        <v>63764</v>
      </c>
      <c r="D100" s="26">
        <v>36</v>
      </c>
    </row>
    <row r="101" spans="1:4">
      <c r="A101" t="s">
        <v>40</v>
      </c>
      <c r="B101" t="s">
        <v>10</v>
      </c>
      <c r="C101" s="26">
        <v>8397</v>
      </c>
      <c r="D101" s="26">
        <v>3</v>
      </c>
    </row>
    <row r="102" spans="1:4">
      <c r="B102" t="s">
        <v>11</v>
      </c>
      <c r="C102" s="26">
        <v>1099</v>
      </c>
      <c r="D102" s="26">
        <v>1</v>
      </c>
    </row>
    <row r="103" spans="1:4">
      <c r="B103" t="s">
        <v>12</v>
      </c>
      <c r="C103" s="26">
        <v>1698</v>
      </c>
      <c r="D103" s="26">
        <v>2</v>
      </c>
    </row>
    <row r="104" spans="1:4">
      <c r="B104" t="s">
        <v>13</v>
      </c>
      <c r="C104" s="26">
        <v>7797</v>
      </c>
      <c r="D104" s="26">
        <v>3</v>
      </c>
    </row>
    <row r="105" spans="1:4">
      <c r="B105" t="s">
        <v>14</v>
      </c>
      <c r="C105" s="26">
        <v>4994</v>
      </c>
      <c r="D105" s="26">
        <v>6</v>
      </c>
    </row>
    <row r="106" spans="1:4">
      <c r="B106" t="s">
        <v>15</v>
      </c>
      <c r="C106" s="26">
        <v>9996</v>
      </c>
      <c r="D106" s="26">
        <v>4</v>
      </c>
    </row>
    <row r="107" spans="1:4">
      <c r="B107" t="s">
        <v>16</v>
      </c>
      <c r="C107" s="26">
        <v>2997</v>
      </c>
      <c r="D107" s="26">
        <v>3</v>
      </c>
    </row>
    <row r="108" spans="1:4">
      <c r="B108" t="s">
        <v>17</v>
      </c>
      <c r="C108" s="26">
        <v>7996</v>
      </c>
      <c r="D108" s="26">
        <v>4</v>
      </c>
    </row>
    <row r="109" spans="1:4">
      <c r="B109" t="s">
        <v>20</v>
      </c>
      <c r="C109" s="26">
        <v>699</v>
      </c>
      <c r="D109" s="26">
        <v>1</v>
      </c>
    </row>
    <row r="110" spans="1:4">
      <c r="B110" t="s">
        <v>21</v>
      </c>
      <c r="C110" s="26">
        <v>10396</v>
      </c>
      <c r="D110" s="26">
        <v>4</v>
      </c>
    </row>
    <row r="111" spans="1:4">
      <c r="B111" t="s">
        <v>23</v>
      </c>
      <c r="C111" s="26">
        <v>3596</v>
      </c>
      <c r="D111" s="26">
        <v>4</v>
      </c>
    </row>
    <row r="112" spans="1:4">
      <c r="B112" t="s">
        <v>24</v>
      </c>
      <c r="C112" s="26">
        <v>1899</v>
      </c>
      <c r="D112" s="26">
        <v>1</v>
      </c>
    </row>
    <row r="113" spans="1:4">
      <c r="B113" t="s">
        <v>25</v>
      </c>
      <c r="C113" s="26">
        <v>1598</v>
      </c>
      <c r="D113" s="26">
        <v>2</v>
      </c>
    </row>
    <row r="114" spans="1:4">
      <c r="B114" t="s">
        <v>26</v>
      </c>
      <c r="C114" s="26">
        <v>1299</v>
      </c>
      <c r="D114" s="26">
        <v>1</v>
      </c>
    </row>
    <row r="115" spans="1:4">
      <c r="B115" t="s">
        <v>27</v>
      </c>
      <c r="C115" s="26">
        <v>4796</v>
      </c>
      <c r="D115" s="26">
        <v>4</v>
      </c>
    </row>
    <row r="116" spans="1:4">
      <c r="B116" t="s">
        <v>28</v>
      </c>
      <c r="C116" s="26">
        <v>2199</v>
      </c>
      <c r="D116" s="26">
        <v>1</v>
      </c>
    </row>
    <row r="117" spans="1:4">
      <c r="A117" t="s">
        <v>41</v>
      </c>
      <c r="C117" s="26">
        <v>71456</v>
      </c>
      <c r="D117" s="26">
        <v>44</v>
      </c>
    </row>
    <row r="118" spans="1:4">
      <c r="A118" t="s">
        <v>42</v>
      </c>
      <c r="B118" t="s">
        <v>9</v>
      </c>
      <c r="C118" s="26">
        <v>10395</v>
      </c>
      <c r="D118" s="26">
        <v>5</v>
      </c>
    </row>
    <row r="119" spans="1:4">
      <c r="B119" t="s">
        <v>10</v>
      </c>
      <c r="C119" s="26">
        <v>6998</v>
      </c>
      <c r="D119" s="26">
        <v>2</v>
      </c>
    </row>
    <row r="120" spans="1:4">
      <c r="B120" t="s">
        <v>12</v>
      </c>
      <c r="C120" s="26">
        <v>1399</v>
      </c>
      <c r="D120" s="26">
        <v>1</v>
      </c>
    </row>
    <row r="121" spans="1:4">
      <c r="B121" t="s">
        <v>13</v>
      </c>
      <c r="C121" s="26">
        <v>16694</v>
      </c>
      <c r="D121" s="26">
        <v>6</v>
      </c>
    </row>
    <row r="122" spans="1:4">
      <c r="B122" t="s">
        <v>14</v>
      </c>
      <c r="C122" s="26">
        <v>2398</v>
      </c>
      <c r="D122" s="26">
        <v>2</v>
      </c>
    </row>
    <row r="123" spans="1:4">
      <c r="B123" t="s">
        <v>15</v>
      </c>
      <c r="C123" s="26">
        <v>8397</v>
      </c>
      <c r="D123" s="26">
        <v>3</v>
      </c>
    </row>
    <row r="124" spans="1:4">
      <c r="B124" t="s">
        <v>17</v>
      </c>
      <c r="C124" s="26">
        <v>14395</v>
      </c>
      <c r="D124" s="26">
        <v>5</v>
      </c>
    </row>
    <row r="125" spans="1:4">
      <c r="B125" t="s">
        <v>18</v>
      </c>
      <c r="C125" s="26">
        <v>6797</v>
      </c>
      <c r="D125" s="26">
        <v>3</v>
      </c>
    </row>
    <row r="126" spans="1:4">
      <c r="B126" t="s">
        <v>19</v>
      </c>
      <c r="C126" s="26">
        <v>5396</v>
      </c>
      <c r="D126" s="26">
        <v>4</v>
      </c>
    </row>
    <row r="127" spans="1:4">
      <c r="B127" t="s">
        <v>20</v>
      </c>
      <c r="C127" s="26">
        <v>5996</v>
      </c>
      <c r="D127" s="26">
        <v>4</v>
      </c>
    </row>
    <row r="128" spans="1:4">
      <c r="B128" t="s">
        <v>21</v>
      </c>
      <c r="C128" s="26">
        <v>6197</v>
      </c>
      <c r="D128" s="26">
        <v>3</v>
      </c>
    </row>
    <row r="129" spans="1:4">
      <c r="B129" t="s">
        <v>22</v>
      </c>
      <c r="C129" s="26">
        <v>1798</v>
      </c>
      <c r="D129" s="26">
        <v>2</v>
      </c>
    </row>
    <row r="130" spans="1:4">
      <c r="B130" t="s">
        <v>23</v>
      </c>
      <c r="C130" s="26">
        <v>1998</v>
      </c>
      <c r="D130" s="26">
        <v>2</v>
      </c>
    </row>
    <row r="131" spans="1:4">
      <c r="B131" t="s">
        <v>24</v>
      </c>
      <c r="C131" s="26">
        <v>4198</v>
      </c>
      <c r="D131" s="26">
        <v>2</v>
      </c>
    </row>
    <row r="132" spans="1:4">
      <c r="B132" t="s">
        <v>25</v>
      </c>
      <c r="C132" s="26">
        <v>1798</v>
      </c>
      <c r="D132" s="26">
        <v>2</v>
      </c>
    </row>
    <row r="133" spans="1:4">
      <c r="B133" t="s">
        <v>28</v>
      </c>
      <c r="C133" s="26">
        <v>20991</v>
      </c>
      <c r="D133" s="26">
        <v>9</v>
      </c>
    </row>
    <row r="134" spans="1:4">
      <c r="A134" t="s">
        <v>43</v>
      </c>
      <c r="C134" s="26">
        <v>115845</v>
      </c>
      <c r="D134" s="26">
        <v>55</v>
      </c>
    </row>
    <row r="135" spans="1:4">
      <c r="A135" t="s">
        <v>44</v>
      </c>
      <c r="B135" t="s">
        <v>9</v>
      </c>
      <c r="C135" s="26">
        <v>8397</v>
      </c>
      <c r="D135" s="26">
        <v>3</v>
      </c>
    </row>
    <row r="136" spans="1:4">
      <c r="B136" t="s">
        <v>10</v>
      </c>
      <c r="C136" s="26">
        <v>2499</v>
      </c>
      <c r="D136" s="26">
        <v>1</v>
      </c>
    </row>
    <row r="137" spans="1:4">
      <c r="B137" t="s">
        <v>11</v>
      </c>
      <c r="C137" s="26">
        <v>5896</v>
      </c>
      <c r="D137" s="26">
        <v>4</v>
      </c>
    </row>
    <row r="138" spans="1:4">
      <c r="B138" t="s">
        <v>12</v>
      </c>
      <c r="C138" s="26">
        <v>4695</v>
      </c>
      <c r="D138" s="26">
        <v>5</v>
      </c>
    </row>
    <row r="139" spans="1:4">
      <c r="B139" t="s">
        <v>13</v>
      </c>
      <c r="C139" s="26">
        <v>699</v>
      </c>
      <c r="D139" s="26">
        <v>1</v>
      </c>
    </row>
    <row r="140" spans="1:4">
      <c r="B140" t="s">
        <v>14</v>
      </c>
      <c r="C140" s="26">
        <v>4497</v>
      </c>
      <c r="D140" s="26">
        <v>3</v>
      </c>
    </row>
    <row r="141" spans="1:4">
      <c r="B141" t="s">
        <v>15</v>
      </c>
      <c r="C141" s="26">
        <v>3499</v>
      </c>
      <c r="D141" s="26">
        <v>1</v>
      </c>
    </row>
    <row r="142" spans="1:4">
      <c r="B142" t="s">
        <v>16</v>
      </c>
      <c r="C142" s="26">
        <v>5095</v>
      </c>
      <c r="D142" s="26">
        <v>5</v>
      </c>
    </row>
    <row r="143" spans="1:4">
      <c r="B143" t="s">
        <v>17</v>
      </c>
      <c r="C143" s="26">
        <v>2799</v>
      </c>
      <c r="D143" s="26">
        <v>1</v>
      </c>
    </row>
    <row r="144" spans="1:4">
      <c r="B144" t="s">
        <v>18</v>
      </c>
      <c r="C144" s="26">
        <v>5997</v>
      </c>
      <c r="D144" s="26">
        <v>3</v>
      </c>
    </row>
    <row r="145" spans="1:4">
      <c r="B145" t="s">
        <v>19</v>
      </c>
      <c r="C145" s="26">
        <v>4798</v>
      </c>
      <c r="D145" s="26">
        <v>2</v>
      </c>
    </row>
    <row r="146" spans="1:4">
      <c r="B146" t="s">
        <v>20</v>
      </c>
      <c r="C146" s="26">
        <v>6396</v>
      </c>
      <c r="D146" s="26">
        <v>4</v>
      </c>
    </row>
    <row r="147" spans="1:4">
      <c r="B147" t="s">
        <v>21</v>
      </c>
      <c r="C147" s="26">
        <v>2999</v>
      </c>
      <c r="D147" s="26">
        <v>1</v>
      </c>
    </row>
    <row r="148" spans="1:4">
      <c r="B148" t="s">
        <v>22</v>
      </c>
      <c r="C148" s="26">
        <v>3697</v>
      </c>
      <c r="D148" s="26">
        <v>3</v>
      </c>
    </row>
    <row r="149" spans="1:4">
      <c r="B149" t="s">
        <v>23</v>
      </c>
      <c r="C149" s="26">
        <v>2597</v>
      </c>
      <c r="D149" s="26">
        <v>3</v>
      </c>
    </row>
    <row r="150" spans="1:4">
      <c r="B150" t="s">
        <v>24</v>
      </c>
      <c r="C150" s="26">
        <v>4398</v>
      </c>
      <c r="D150" s="26">
        <v>2</v>
      </c>
    </row>
    <row r="151" spans="1:4">
      <c r="B151" t="s">
        <v>25</v>
      </c>
      <c r="C151" s="26">
        <v>1798</v>
      </c>
      <c r="D151" s="26">
        <v>2</v>
      </c>
    </row>
    <row r="152" spans="1:4">
      <c r="B152" t="s">
        <v>26</v>
      </c>
      <c r="C152" s="26">
        <v>1998</v>
      </c>
      <c r="D152" s="26">
        <v>2</v>
      </c>
    </row>
    <row r="153" spans="1:4">
      <c r="B153" t="s">
        <v>27</v>
      </c>
      <c r="C153" s="26">
        <v>4196</v>
      </c>
      <c r="D153" s="26">
        <v>4</v>
      </c>
    </row>
    <row r="154" spans="1:4">
      <c r="B154" t="s">
        <v>28</v>
      </c>
      <c r="C154" s="26">
        <v>3798</v>
      </c>
      <c r="D154" s="26">
        <v>2</v>
      </c>
    </row>
    <row r="155" spans="1:4">
      <c r="A155" t="s">
        <v>45</v>
      </c>
      <c r="C155" s="26">
        <v>80748</v>
      </c>
      <c r="D155" s="26">
        <v>52</v>
      </c>
    </row>
    <row r="156" spans="1:4">
      <c r="A156" t="s">
        <v>46</v>
      </c>
      <c r="C156" s="26">
        <v>689121</v>
      </c>
      <c r="D156" s="26">
        <v>379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5EA5-351B-42D5-9950-88D53CBD856B}">
  <dimension ref="A3:B7"/>
  <sheetViews>
    <sheetView workbookViewId="0">
      <selection activeCell="K19" sqref="K19"/>
    </sheetView>
  </sheetViews>
  <sheetFormatPr defaultRowHeight="15"/>
  <cols>
    <col min="1" max="1" width="11.7109375" bestFit="1" customWidth="1"/>
    <col min="2" max="2" width="23.5703125" bestFit="1" customWidth="1"/>
    <col min="3" max="3" width="17.5703125" bestFit="1" customWidth="1"/>
    <col min="4" max="5" width="11.5703125" bestFit="1" customWidth="1"/>
  </cols>
  <sheetData>
    <row r="3" spans="1:2">
      <c r="A3" s="27" t="s">
        <v>47</v>
      </c>
      <c r="B3" t="s">
        <v>6</v>
      </c>
    </row>
    <row r="4" spans="1:2">
      <c r="A4" t="s">
        <v>48</v>
      </c>
      <c r="B4" s="26">
        <v>469010</v>
      </c>
    </row>
    <row r="5" spans="1:2">
      <c r="A5" t="s">
        <v>49</v>
      </c>
      <c r="B5" s="26">
        <v>210419</v>
      </c>
    </row>
    <row r="6" spans="1:2">
      <c r="A6" t="s">
        <v>50</v>
      </c>
      <c r="B6" s="26">
        <v>9692</v>
      </c>
    </row>
    <row r="7" spans="1:2">
      <c r="A7" t="s">
        <v>46</v>
      </c>
      <c r="B7" s="26">
        <v>689121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2D62-7501-48C8-9340-9C0E14FB8600}">
  <dimension ref="A3:B10"/>
  <sheetViews>
    <sheetView workbookViewId="0">
      <selection activeCell="A3" sqref="A3:B10"/>
    </sheetView>
  </sheetViews>
  <sheetFormatPr defaultRowHeight="15"/>
  <cols>
    <col min="1" max="1" width="22.28515625" bestFit="1" customWidth="1"/>
    <col min="2" max="2" width="23" bestFit="1" customWidth="1"/>
    <col min="3" max="3" width="23.5703125" bestFit="1" customWidth="1"/>
  </cols>
  <sheetData>
    <row r="3" spans="1:2">
      <c r="A3" s="27" t="s">
        <v>51</v>
      </c>
      <c r="B3" t="s">
        <v>6</v>
      </c>
    </row>
    <row r="4" spans="1:2">
      <c r="A4" t="s">
        <v>52</v>
      </c>
      <c r="B4" s="26">
        <v>97145</v>
      </c>
    </row>
    <row r="5" spans="1:2">
      <c r="A5" t="s">
        <v>53</v>
      </c>
      <c r="B5" s="26">
        <v>146527</v>
      </c>
    </row>
    <row r="6" spans="1:2">
      <c r="A6" t="s">
        <v>54</v>
      </c>
      <c r="B6" s="26">
        <v>109231</v>
      </c>
    </row>
    <row r="7" spans="1:2">
      <c r="A7" t="s">
        <v>55</v>
      </c>
      <c r="B7" s="26">
        <v>93255</v>
      </c>
    </row>
    <row r="8" spans="1:2">
      <c r="A8" t="s">
        <v>56</v>
      </c>
      <c r="B8" s="26">
        <v>153416</v>
      </c>
    </row>
    <row r="9" spans="1:2">
      <c r="A9" t="s">
        <v>57</v>
      </c>
      <c r="B9" s="26">
        <v>89547</v>
      </c>
    </row>
    <row r="10" spans="1:2">
      <c r="A10" t="s">
        <v>46</v>
      </c>
      <c r="B10" s="26">
        <v>689121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0A10-42A2-4CBA-A0BC-FD31FFDC12E6}">
  <dimension ref="A3:C34"/>
  <sheetViews>
    <sheetView workbookViewId="0">
      <selection activeCell="A3" sqref="A3"/>
    </sheetView>
  </sheetViews>
  <sheetFormatPr defaultRowHeight="15"/>
  <cols>
    <col min="1" max="1" width="16.140625" bestFit="1" customWidth="1"/>
    <col min="2" max="2" width="7.85546875" bestFit="1" customWidth="1"/>
    <col min="3" max="4" width="23" bestFit="1" customWidth="1"/>
  </cols>
  <sheetData>
    <row r="3" spans="1:3">
      <c r="A3" s="27" t="s">
        <v>58</v>
      </c>
      <c r="B3" s="27" t="s">
        <v>59</v>
      </c>
      <c r="C3" t="s">
        <v>6</v>
      </c>
    </row>
    <row r="4" spans="1:3">
      <c r="A4" t="s">
        <v>60</v>
      </c>
      <c r="B4" t="s">
        <v>61</v>
      </c>
      <c r="C4" s="26">
        <v>10497</v>
      </c>
    </row>
    <row r="5" spans="1:3">
      <c r="B5" t="s">
        <v>62</v>
      </c>
      <c r="C5" s="26">
        <v>799</v>
      </c>
    </row>
    <row r="6" spans="1:3">
      <c r="A6" t="s">
        <v>63</v>
      </c>
      <c r="C6" s="26">
        <v>11296</v>
      </c>
    </row>
    <row r="7" spans="1:3">
      <c r="A7" t="s">
        <v>64</v>
      </c>
      <c r="B7" t="s">
        <v>61</v>
      </c>
      <c r="C7" s="26">
        <v>13395</v>
      </c>
    </row>
    <row r="8" spans="1:3">
      <c r="B8" t="s">
        <v>65</v>
      </c>
      <c r="C8" s="26">
        <v>1299</v>
      </c>
    </row>
    <row r="9" spans="1:3">
      <c r="A9" t="s">
        <v>66</v>
      </c>
      <c r="C9" s="26">
        <v>14694</v>
      </c>
    </row>
    <row r="10" spans="1:3">
      <c r="A10" t="s">
        <v>67</v>
      </c>
      <c r="B10" t="s">
        <v>61</v>
      </c>
      <c r="C10" s="26">
        <v>4998</v>
      </c>
    </row>
    <row r="11" spans="1:3">
      <c r="B11" t="s">
        <v>68</v>
      </c>
      <c r="C11" s="26">
        <v>5798</v>
      </c>
    </row>
    <row r="12" spans="1:3">
      <c r="A12" t="s">
        <v>69</v>
      </c>
      <c r="C12" s="26">
        <v>10796</v>
      </c>
    </row>
    <row r="13" spans="1:3">
      <c r="A13" t="s">
        <v>70</v>
      </c>
      <c r="B13" t="s">
        <v>61</v>
      </c>
      <c r="C13" s="26">
        <v>2598</v>
      </c>
    </row>
    <row r="14" spans="1:3">
      <c r="B14" t="s">
        <v>62</v>
      </c>
      <c r="C14" s="26">
        <v>6597</v>
      </c>
    </row>
    <row r="15" spans="1:3">
      <c r="B15" t="s">
        <v>68</v>
      </c>
      <c r="C15" s="26">
        <v>4398</v>
      </c>
    </row>
    <row r="16" spans="1:3">
      <c r="B16" t="s">
        <v>71</v>
      </c>
      <c r="C16" s="26">
        <v>4598</v>
      </c>
    </row>
    <row r="17" spans="1:3">
      <c r="A17" t="s">
        <v>72</v>
      </c>
      <c r="C17" s="26">
        <v>18191</v>
      </c>
    </row>
    <row r="18" spans="1:3">
      <c r="A18" t="s">
        <v>73</v>
      </c>
      <c r="B18" t="s">
        <v>62</v>
      </c>
      <c r="C18" s="26">
        <v>3998</v>
      </c>
    </row>
    <row r="19" spans="1:3">
      <c r="B19" t="s">
        <v>65</v>
      </c>
      <c r="C19" s="26">
        <v>7297</v>
      </c>
    </row>
    <row r="20" spans="1:3">
      <c r="A20" t="s">
        <v>74</v>
      </c>
      <c r="C20" s="26">
        <v>11295</v>
      </c>
    </row>
    <row r="21" spans="1:3">
      <c r="A21" t="s">
        <v>75</v>
      </c>
      <c r="B21" t="s">
        <v>65</v>
      </c>
      <c r="C21" s="26">
        <v>10497</v>
      </c>
    </row>
    <row r="22" spans="1:3">
      <c r="A22" t="s">
        <v>76</v>
      </c>
      <c r="C22" s="26">
        <v>10497</v>
      </c>
    </row>
    <row r="23" spans="1:3">
      <c r="A23" t="s">
        <v>77</v>
      </c>
      <c r="B23" t="s">
        <v>61</v>
      </c>
      <c r="C23" s="26">
        <v>10497</v>
      </c>
    </row>
    <row r="24" spans="1:3">
      <c r="B24" t="s">
        <v>71</v>
      </c>
      <c r="C24" s="26">
        <v>9196</v>
      </c>
    </row>
    <row r="25" spans="1:3">
      <c r="A25" t="s">
        <v>78</v>
      </c>
      <c r="C25" s="26">
        <v>19693</v>
      </c>
    </row>
    <row r="26" spans="1:3">
      <c r="A26" t="s">
        <v>79</v>
      </c>
      <c r="B26" t="s">
        <v>62</v>
      </c>
      <c r="C26" s="26">
        <v>11195</v>
      </c>
    </row>
    <row r="27" spans="1:3">
      <c r="A27" t="s">
        <v>80</v>
      </c>
      <c r="C27" s="26">
        <v>11195</v>
      </c>
    </row>
    <row r="28" spans="1:3">
      <c r="A28" t="s">
        <v>81</v>
      </c>
      <c r="B28" t="s">
        <v>61</v>
      </c>
      <c r="C28" s="26">
        <v>6998</v>
      </c>
    </row>
    <row r="29" spans="1:3">
      <c r="B29" t="s">
        <v>65</v>
      </c>
      <c r="C29" s="26">
        <v>5997</v>
      </c>
    </row>
    <row r="30" spans="1:3">
      <c r="A30" t="s">
        <v>82</v>
      </c>
      <c r="C30" s="26">
        <v>12995</v>
      </c>
    </row>
    <row r="31" spans="1:3">
      <c r="A31" t="s">
        <v>83</v>
      </c>
      <c r="B31" t="s">
        <v>61</v>
      </c>
      <c r="C31" s="26">
        <v>8997</v>
      </c>
    </row>
    <row r="32" spans="1:3">
      <c r="B32" t="s">
        <v>71</v>
      </c>
      <c r="C32" s="26">
        <v>7497</v>
      </c>
    </row>
    <row r="33" spans="1:3">
      <c r="A33" t="s">
        <v>84</v>
      </c>
      <c r="C33" s="26">
        <v>16494</v>
      </c>
    </row>
    <row r="34" spans="1:3">
      <c r="A34" t="s">
        <v>46</v>
      </c>
      <c r="C34" s="26">
        <v>137146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2873-B306-4E8C-A788-4D326EDD5B8C}">
  <dimension ref="A3:B7"/>
  <sheetViews>
    <sheetView workbookViewId="0">
      <selection activeCell="I16" sqref="I16"/>
    </sheetView>
  </sheetViews>
  <sheetFormatPr defaultRowHeight="15"/>
  <cols>
    <col min="1" max="1" width="11.5703125" bestFit="1" customWidth="1"/>
    <col min="2" max="2" width="15.5703125" bestFit="1" customWidth="1"/>
    <col min="3" max="3" width="11.140625" bestFit="1" customWidth="1"/>
    <col min="4" max="4" width="10" bestFit="1" customWidth="1"/>
    <col min="5" max="5" width="11.42578125" bestFit="1" customWidth="1"/>
    <col min="6" max="6" width="9" bestFit="1" customWidth="1"/>
    <col min="7" max="7" width="9.85546875" bestFit="1" customWidth="1"/>
    <col min="8" max="8" width="11.7109375" bestFit="1" customWidth="1"/>
    <col min="9" max="9" width="12.7109375" bestFit="1" customWidth="1"/>
    <col min="10" max="10" width="10.5703125" bestFit="1" customWidth="1"/>
    <col min="11" max="11" width="13.28515625" bestFit="1" customWidth="1"/>
    <col min="12" max="12" width="13.7109375" bestFit="1" customWidth="1"/>
    <col min="13" max="13" width="11" bestFit="1" customWidth="1"/>
    <col min="14" max="14" width="9.85546875" bestFit="1" customWidth="1"/>
    <col min="15" max="15" width="9.5703125" bestFit="1" customWidth="1"/>
    <col min="16" max="16" width="11.140625" bestFit="1" customWidth="1"/>
    <col min="17" max="17" width="11.5703125" bestFit="1" customWidth="1"/>
    <col min="18" max="19" width="11" bestFit="1" customWidth="1"/>
    <col min="20" max="20" width="10.7109375" bestFit="1" customWidth="1"/>
    <col min="21" max="22" width="11.7109375" bestFit="1" customWidth="1"/>
  </cols>
  <sheetData>
    <row r="3" spans="1:2">
      <c r="A3" s="27" t="s">
        <v>47</v>
      </c>
      <c r="B3" t="s">
        <v>85</v>
      </c>
    </row>
    <row r="4" spans="1:2">
      <c r="A4" t="s">
        <v>48</v>
      </c>
      <c r="B4" s="26">
        <v>98</v>
      </c>
    </row>
    <row r="5" spans="1:2">
      <c r="A5" t="s">
        <v>49</v>
      </c>
      <c r="B5" s="26">
        <v>99</v>
      </c>
    </row>
    <row r="6" spans="1:2">
      <c r="A6" t="s">
        <v>50</v>
      </c>
      <c r="B6" s="26">
        <v>3</v>
      </c>
    </row>
    <row r="7" spans="1:2">
      <c r="A7" t="s">
        <v>46</v>
      </c>
      <c r="B7" s="26">
        <v>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workbookViewId="0"/>
  </sheetViews>
  <sheetFormatPr defaultRowHeight="15"/>
  <cols>
    <col min="1" max="1" width="8.42578125" style="1" bestFit="1" customWidth="1"/>
    <col min="2" max="2" width="18.140625" style="1" bestFit="1" customWidth="1"/>
    <col min="3" max="3" width="34.7109375" style="21" bestFit="1" customWidth="1"/>
    <col min="4" max="4" width="7.7109375" bestFit="1" customWidth="1"/>
    <col min="5" max="5" width="19.42578125" style="2" bestFit="1" customWidth="1"/>
    <col min="6" max="6" width="16.140625" style="2" bestFit="1" customWidth="1"/>
    <col min="7" max="7" width="12.140625" style="2" bestFit="1" customWidth="1"/>
    <col min="8" max="8" width="14.140625" bestFit="1" customWidth="1"/>
    <col min="9" max="9" width="13.42578125" style="20" customWidth="1"/>
    <col min="10" max="10" width="8" bestFit="1" customWidth="1"/>
    <col min="11" max="11" width="10.7109375" bestFit="1" customWidth="1"/>
    <col min="12" max="12" width="14.140625" bestFit="1" customWidth="1"/>
    <col min="13" max="13" width="15" bestFit="1" customWidth="1"/>
    <col min="14" max="14" width="23.85546875" bestFit="1" customWidth="1"/>
    <col min="15" max="15" width="20.7109375" bestFit="1" customWidth="1"/>
    <col min="16" max="16" width="20.7109375" customWidth="1"/>
  </cols>
  <sheetData>
    <row r="1" spans="1:22" s="3" customFormat="1" ht="23.25">
      <c r="A1" s="10" t="s">
        <v>86</v>
      </c>
      <c r="B1" s="11" t="s">
        <v>87</v>
      </c>
      <c r="C1" s="22" t="s">
        <v>88</v>
      </c>
      <c r="D1" s="19" t="s">
        <v>89</v>
      </c>
      <c r="E1" s="19" t="s">
        <v>90</v>
      </c>
      <c r="F1" s="12" t="s">
        <v>58</v>
      </c>
      <c r="G1" s="19" t="s">
        <v>4</v>
      </c>
      <c r="H1" s="19" t="s">
        <v>5</v>
      </c>
      <c r="I1" s="19" t="s">
        <v>47</v>
      </c>
      <c r="J1" s="19" t="s">
        <v>59</v>
      </c>
      <c r="K1" s="19" t="s">
        <v>91</v>
      </c>
      <c r="L1" s="19" t="s">
        <v>92</v>
      </c>
      <c r="M1" s="19" t="s">
        <v>93</v>
      </c>
      <c r="N1" s="19" t="s">
        <v>51</v>
      </c>
      <c r="O1" s="13" t="s">
        <v>94</v>
      </c>
      <c r="P1" s="24"/>
    </row>
    <row r="2" spans="1:22" s="4" customFormat="1" ht="15.75">
      <c r="A2" s="39">
        <v>1</v>
      </c>
      <c r="B2" s="18">
        <v>101</v>
      </c>
      <c r="C2" s="23">
        <v>46113</v>
      </c>
      <c r="D2" s="18">
        <v>18</v>
      </c>
      <c r="E2" s="40" t="s">
        <v>95</v>
      </c>
      <c r="F2" s="18" t="s">
        <v>70</v>
      </c>
      <c r="G2" s="18" t="s">
        <v>44</v>
      </c>
      <c r="H2" s="18" t="s">
        <v>26</v>
      </c>
      <c r="I2" s="18" t="s">
        <v>49</v>
      </c>
      <c r="J2" s="8" t="s">
        <v>62</v>
      </c>
      <c r="K2" s="18" t="s">
        <v>96</v>
      </c>
      <c r="L2" s="8">
        <v>1</v>
      </c>
      <c r="M2" s="18">
        <v>599</v>
      </c>
      <c r="N2" s="8" t="s">
        <v>56</v>
      </c>
      <c r="O2" s="41">
        <f>Table1[[#This Row],[PRICE UNIT]]*Table1[[#This Row],[QUANTITY]]</f>
        <v>599</v>
      </c>
      <c r="P2" s="42"/>
      <c r="Q2" s="43"/>
      <c r="R2" s="43"/>
      <c r="S2" s="43"/>
      <c r="T2" s="43"/>
      <c r="U2" s="43"/>
      <c r="V2" s="43"/>
    </row>
    <row r="3" spans="1:22" ht="15.75">
      <c r="A3" s="44">
        <v>2</v>
      </c>
      <c r="B3" s="6">
        <v>102</v>
      </c>
      <c r="C3" s="45" t="s">
        <v>97</v>
      </c>
      <c r="D3" s="46">
        <v>25</v>
      </c>
      <c r="E3" s="7" t="s">
        <v>98</v>
      </c>
      <c r="F3" s="7" t="s">
        <v>99</v>
      </c>
      <c r="G3" s="7" t="s">
        <v>34</v>
      </c>
      <c r="H3" s="5" t="s">
        <v>15</v>
      </c>
      <c r="I3" s="46" t="s">
        <v>48</v>
      </c>
      <c r="J3" s="46" t="s">
        <v>61</v>
      </c>
      <c r="K3" s="46" t="s">
        <v>100</v>
      </c>
      <c r="L3" s="7">
        <v>2</v>
      </c>
      <c r="M3" s="7">
        <v>899</v>
      </c>
      <c r="N3" s="7" t="s">
        <v>53</v>
      </c>
      <c r="O3" s="16">
        <f>Table1[[#This Row],[PRICE UNIT]]*Table1[[#This Row],[QUANTITY]]</f>
        <v>1798</v>
      </c>
      <c r="P3" s="25"/>
    </row>
    <row r="4" spans="1:22" ht="15.75">
      <c r="A4" s="44">
        <v>3</v>
      </c>
      <c r="B4" s="6">
        <v>103</v>
      </c>
      <c r="C4" s="45" t="s">
        <v>101</v>
      </c>
      <c r="D4" s="46">
        <v>32</v>
      </c>
      <c r="E4" s="7" t="s">
        <v>102</v>
      </c>
      <c r="F4" s="7" t="s">
        <v>103</v>
      </c>
      <c r="G4" s="7" t="s">
        <v>30</v>
      </c>
      <c r="H4" s="5" t="s">
        <v>23</v>
      </c>
      <c r="I4" s="46" t="s">
        <v>49</v>
      </c>
      <c r="J4" s="46" t="s">
        <v>65</v>
      </c>
      <c r="K4" s="46" t="s">
        <v>104</v>
      </c>
      <c r="L4" s="7">
        <v>1</v>
      </c>
      <c r="M4" s="7">
        <v>1499</v>
      </c>
      <c r="N4" s="7" t="s">
        <v>54</v>
      </c>
      <c r="O4" s="16">
        <f>Table1[[#This Row],[PRICE UNIT]]*Table1[[#This Row],[QUANTITY]]</f>
        <v>1499</v>
      </c>
      <c r="P4" s="25"/>
    </row>
    <row r="5" spans="1:22" ht="15.75">
      <c r="A5" s="44">
        <v>4</v>
      </c>
      <c r="B5" s="6">
        <v>104</v>
      </c>
      <c r="C5" s="45">
        <v>46267</v>
      </c>
      <c r="D5" s="46">
        <v>21</v>
      </c>
      <c r="E5" s="7" t="s">
        <v>105</v>
      </c>
      <c r="F5" s="7" t="s">
        <v>106</v>
      </c>
      <c r="G5" s="7" t="s">
        <v>36</v>
      </c>
      <c r="H5" s="5" t="s">
        <v>21</v>
      </c>
      <c r="I5" s="46" t="s">
        <v>48</v>
      </c>
      <c r="J5" s="46" t="s">
        <v>68</v>
      </c>
      <c r="K5" s="46" t="s">
        <v>107</v>
      </c>
      <c r="L5" s="7">
        <v>3</v>
      </c>
      <c r="M5" s="7">
        <v>2499</v>
      </c>
      <c r="N5" s="7" t="s">
        <v>52</v>
      </c>
      <c r="O5" s="16">
        <f>Table1[[#This Row],[PRICE UNIT]]*Table1[[#This Row],[QUANTITY]]</f>
        <v>7497</v>
      </c>
      <c r="P5" s="25"/>
    </row>
    <row r="6" spans="1:22" ht="15.75">
      <c r="A6" s="44">
        <v>5</v>
      </c>
      <c r="B6" s="6">
        <v>105</v>
      </c>
      <c r="C6" s="45" t="s">
        <v>108</v>
      </c>
      <c r="D6" s="46">
        <v>29</v>
      </c>
      <c r="E6" s="7" t="s">
        <v>109</v>
      </c>
      <c r="F6" s="7" t="s">
        <v>60</v>
      </c>
      <c r="G6" s="7" t="s">
        <v>40</v>
      </c>
      <c r="H6" s="5" t="s">
        <v>12</v>
      </c>
      <c r="I6" s="46" t="s">
        <v>49</v>
      </c>
      <c r="J6" s="46" t="s">
        <v>62</v>
      </c>
      <c r="K6" s="46" t="s">
        <v>110</v>
      </c>
      <c r="L6" s="7">
        <v>1</v>
      </c>
      <c r="M6" s="7">
        <v>799</v>
      </c>
      <c r="N6" s="7" t="s">
        <v>55</v>
      </c>
      <c r="O6" s="16">
        <f>Table1[[#This Row],[PRICE UNIT]]*Table1[[#This Row],[QUANTITY]]</f>
        <v>799</v>
      </c>
      <c r="P6" s="25"/>
    </row>
    <row r="7" spans="1:22" ht="15.75">
      <c r="A7" s="44">
        <v>6</v>
      </c>
      <c r="B7" s="6">
        <v>106</v>
      </c>
      <c r="C7" s="45" t="s">
        <v>111</v>
      </c>
      <c r="D7" s="46">
        <v>41</v>
      </c>
      <c r="E7" s="7" t="s">
        <v>112</v>
      </c>
      <c r="F7" s="7" t="s">
        <v>70</v>
      </c>
      <c r="G7" s="7" t="s">
        <v>32</v>
      </c>
      <c r="H7" s="5" t="s">
        <v>18</v>
      </c>
      <c r="I7" s="46" t="s">
        <v>48</v>
      </c>
      <c r="J7" s="46" t="s">
        <v>61</v>
      </c>
      <c r="K7" s="46" t="s">
        <v>113</v>
      </c>
      <c r="L7" s="7">
        <v>2</v>
      </c>
      <c r="M7" s="7">
        <v>1299</v>
      </c>
      <c r="N7" s="7" t="s">
        <v>56</v>
      </c>
      <c r="O7" s="16">
        <f>Table1[[#This Row],[PRICE UNIT]]*Table1[[#This Row],[QUANTITY]]</f>
        <v>2598</v>
      </c>
      <c r="P7" s="25"/>
    </row>
    <row r="8" spans="1:22" ht="15.75">
      <c r="A8" s="44">
        <v>7</v>
      </c>
      <c r="B8" s="6">
        <v>107</v>
      </c>
      <c r="C8" s="45">
        <v>46182</v>
      </c>
      <c r="D8" s="46">
        <v>23</v>
      </c>
      <c r="E8" s="7" t="s">
        <v>114</v>
      </c>
      <c r="F8" s="7" t="s">
        <v>115</v>
      </c>
      <c r="G8" s="7" t="s">
        <v>38</v>
      </c>
      <c r="H8" s="5" t="s">
        <v>27</v>
      </c>
      <c r="I8" s="46" t="s">
        <v>49</v>
      </c>
      <c r="J8" s="46" t="s">
        <v>71</v>
      </c>
      <c r="K8" s="46" t="s">
        <v>116</v>
      </c>
      <c r="L8" s="7">
        <v>1</v>
      </c>
      <c r="M8" s="7">
        <v>999</v>
      </c>
      <c r="N8" s="7" t="s">
        <v>53</v>
      </c>
      <c r="O8" s="16">
        <f>Table1[[#This Row],[PRICE UNIT]]*Table1[[#This Row],[QUANTITY]]</f>
        <v>999</v>
      </c>
      <c r="P8" s="25"/>
    </row>
    <row r="9" spans="1:22" ht="15.75">
      <c r="A9" s="44">
        <v>8</v>
      </c>
      <c r="B9" s="6">
        <v>108</v>
      </c>
      <c r="C9" s="45" t="s">
        <v>117</v>
      </c>
      <c r="D9" s="46">
        <v>35</v>
      </c>
      <c r="E9" s="7" t="s">
        <v>118</v>
      </c>
      <c r="F9" s="7" t="s">
        <v>119</v>
      </c>
      <c r="G9" s="7" t="s">
        <v>42</v>
      </c>
      <c r="H9" s="5" t="s">
        <v>9</v>
      </c>
      <c r="I9" s="46" t="s">
        <v>48</v>
      </c>
      <c r="J9" s="46" t="s">
        <v>62</v>
      </c>
      <c r="K9" s="46" t="s">
        <v>120</v>
      </c>
      <c r="L9" s="7">
        <v>1</v>
      </c>
      <c r="M9" s="7">
        <v>1599</v>
      </c>
      <c r="N9" s="7" t="s">
        <v>54</v>
      </c>
      <c r="O9" s="16">
        <f>Table1[[#This Row],[PRICE UNIT]]*Table1[[#This Row],[QUANTITY]]</f>
        <v>1599</v>
      </c>
      <c r="P9" s="25"/>
    </row>
    <row r="10" spans="1:22" ht="15.75">
      <c r="A10" s="44">
        <v>9</v>
      </c>
      <c r="B10" s="6">
        <v>109</v>
      </c>
      <c r="C10" s="45" t="s">
        <v>121</v>
      </c>
      <c r="D10" s="46">
        <v>27</v>
      </c>
      <c r="E10" s="7" t="s">
        <v>122</v>
      </c>
      <c r="F10" s="7" t="s">
        <v>123</v>
      </c>
      <c r="G10" s="7" t="s">
        <v>8</v>
      </c>
      <c r="H10" s="5" t="s">
        <v>20</v>
      </c>
      <c r="I10" s="46" t="s">
        <v>49</v>
      </c>
      <c r="J10" s="46" t="s">
        <v>68</v>
      </c>
      <c r="K10" s="46" t="s">
        <v>124</v>
      </c>
      <c r="L10" s="7">
        <v>2</v>
      </c>
      <c r="M10" s="7">
        <v>499</v>
      </c>
      <c r="N10" s="7" t="s">
        <v>52</v>
      </c>
      <c r="O10" s="16">
        <f>Table1[[#This Row],[PRICE UNIT]]*Table1[[#This Row],[QUANTITY]]</f>
        <v>998</v>
      </c>
      <c r="P10" s="25"/>
    </row>
    <row r="11" spans="1:22" ht="15.75">
      <c r="A11" s="44">
        <v>10</v>
      </c>
      <c r="B11" s="6">
        <v>110</v>
      </c>
      <c r="C11" s="45" t="s">
        <v>125</v>
      </c>
      <c r="D11" s="46">
        <v>19</v>
      </c>
      <c r="E11" s="7" t="s">
        <v>126</v>
      </c>
      <c r="F11" s="7" t="s">
        <v>127</v>
      </c>
      <c r="G11" s="7" t="s">
        <v>44</v>
      </c>
      <c r="H11" s="5" t="s">
        <v>13</v>
      </c>
      <c r="I11" s="46" t="s">
        <v>48</v>
      </c>
      <c r="J11" s="46" t="s">
        <v>61</v>
      </c>
      <c r="K11" s="46" t="s">
        <v>128</v>
      </c>
      <c r="L11" s="7">
        <v>1</v>
      </c>
      <c r="M11" s="7">
        <v>699</v>
      </c>
      <c r="N11" s="7" t="s">
        <v>57</v>
      </c>
      <c r="O11" s="16">
        <f>Table1[[#This Row],[PRICE UNIT]]*Table1[[#This Row],[QUANTITY]]</f>
        <v>699</v>
      </c>
      <c r="P11" s="25"/>
    </row>
    <row r="12" spans="1:22" ht="15.75">
      <c r="A12" s="44">
        <v>11</v>
      </c>
      <c r="B12" s="6">
        <v>111</v>
      </c>
      <c r="C12" s="45">
        <v>46332</v>
      </c>
      <c r="D12" s="46">
        <v>44</v>
      </c>
      <c r="E12" s="7" t="s">
        <v>129</v>
      </c>
      <c r="F12" s="7" t="s">
        <v>130</v>
      </c>
      <c r="G12" s="7" t="s">
        <v>30</v>
      </c>
      <c r="H12" s="5" t="s">
        <v>16</v>
      </c>
      <c r="I12" s="46" t="s">
        <v>49</v>
      </c>
      <c r="J12" s="46" t="s">
        <v>65</v>
      </c>
      <c r="K12" s="46" t="s">
        <v>96</v>
      </c>
      <c r="L12" s="7">
        <v>3</v>
      </c>
      <c r="M12" s="7">
        <v>1199</v>
      </c>
      <c r="N12" s="7" t="s">
        <v>56</v>
      </c>
      <c r="O12" s="16">
        <f>Table1[[#This Row],[PRICE UNIT]]*Table1[[#This Row],[QUANTITY]]</f>
        <v>3597</v>
      </c>
      <c r="P12" s="25"/>
    </row>
    <row r="13" spans="1:22" ht="15.75">
      <c r="A13" s="44">
        <v>12</v>
      </c>
      <c r="B13" s="6">
        <v>112</v>
      </c>
      <c r="C13" s="45">
        <v>46091</v>
      </c>
      <c r="D13" s="46">
        <v>31</v>
      </c>
      <c r="E13" s="7" t="s">
        <v>131</v>
      </c>
      <c r="F13" s="7" t="s">
        <v>132</v>
      </c>
      <c r="G13" s="7" t="s">
        <v>32</v>
      </c>
      <c r="H13" s="5" t="s">
        <v>24</v>
      </c>
      <c r="I13" s="46" t="s">
        <v>48</v>
      </c>
      <c r="J13" s="46" t="s">
        <v>62</v>
      </c>
      <c r="K13" s="46" t="s">
        <v>100</v>
      </c>
      <c r="L13" s="7">
        <v>1</v>
      </c>
      <c r="M13" s="7">
        <v>1799</v>
      </c>
      <c r="N13" s="7" t="s">
        <v>54</v>
      </c>
      <c r="O13" s="16">
        <f>Table1[[#This Row],[PRICE UNIT]]*Table1[[#This Row],[QUANTITY]]</f>
        <v>1799</v>
      </c>
      <c r="P13" s="25"/>
    </row>
    <row r="14" spans="1:22" ht="15.75">
      <c r="A14" s="44">
        <v>13</v>
      </c>
      <c r="B14" s="6">
        <v>113</v>
      </c>
      <c r="C14" s="45" t="s">
        <v>133</v>
      </c>
      <c r="D14" s="46">
        <v>26</v>
      </c>
      <c r="E14" s="7" t="s">
        <v>134</v>
      </c>
      <c r="F14" s="7" t="s">
        <v>135</v>
      </c>
      <c r="G14" s="7" t="s">
        <v>42</v>
      </c>
      <c r="H14" s="5" t="s">
        <v>22</v>
      </c>
      <c r="I14" s="46" t="s">
        <v>49</v>
      </c>
      <c r="J14" s="46" t="s">
        <v>61</v>
      </c>
      <c r="K14" s="46" t="s">
        <v>136</v>
      </c>
      <c r="L14" s="7">
        <v>2</v>
      </c>
      <c r="M14" s="7">
        <v>899</v>
      </c>
      <c r="N14" s="7" t="s">
        <v>53</v>
      </c>
      <c r="O14" s="16">
        <f>Table1[[#This Row],[PRICE UNIT]]*Table1[[#This Row],[QUANTITY]]</f>
        <v>1798</v>
      </c>
      <c r="P14" s="25"/>
    </row>
    <row r="15" spans="1:22" ht="15.75">
      <c r="A15" s="44">
        <v>14</v>
      </c>
      <c r="B15" s="6">
        <v>114</v>
      </c>
      <c r="C15" s="45">
        <v>46241</v>
      </c>
      <c r="D15" s="46">
        <v>38</v>
      </c>
      <c r="E15" s="7" t="s">
        <v>137</v>
      </c>
      <c r="F15" s="7" t="s">
        <v>138</v>
      </c>
      <c r="G15" s="7" t="s">
        <v>38</v>
      </c>
      <c r="H15" s="5" t="s">
        <v>10</v>
      </c>
      <c r="I15" s="46" t="s">
        <v>48</v>
      </c>
      <c r="J15" s="46" t="s">
        <v>68</v>
      </c>
      <c r="K15" s="46" t="s">
        <v>139</v>
      </c>
      <c r="L15" s="7">
        <v>1</v>
      </c>
      <c r="M15" s="7">
        <v>1399</v>
      </c>
      <c r="N15" s="7" t="s">
        <v>52</v>
      </c>
      <c r="O15" s="16">
        <f>Table1[[#This Row],[PRICE UNIT]]*Table1[[#This Row],[QUANTITY]]</f>
        <v>1399</v>
      </c>
      <c r="P15" s="25"/>
    </row>
    <row r="16" spans="1:22" ht="15.75">
      <c r="A16" s="44">
        <v>15</v>
      </c>
      <c r="B16" s="6">
        <v>115</v>
      </c>
      <c r="C16" s="45" t="s">
        <v>140</v>
      </c>
      <c r="D16" s="46">
        <v>22</v>
      </c>
      <c r="E16" s="7" t="s">
        <v>141</v>
      </c>
      <c r="F16" s="7" t="s">
        <v>77</v>
      </c>
      <c r="G16" s="7" t="s">
        <v>34</v>
      </c>
      <c r="H16" s="5" t="s">
        <v>25</v>
      </c>
      <c r="I16" s="46" t="s">
        <v>49</v>
      </c>
      <c r="J16" s="46" t="s">
        <v>71</v>
      </c>
      <c r="K16" s="46" t="s">
        <v>107</v>
      </c>
      <c r="L16" s="7">
        <v>4</v>
      </c>
      <c r="M16" s="7">
        <v>2299</v>
      </c>
      <c r="N16" s="7" t="s">
        <v>55</v>
      </c>
      <c r="O16" s="16">
        <f>Table1[[#This Row],[PRICE UNIT]]*Table1[[#This Row],[QUANTITY]]</f>
        <v>9196</v>
      </c>
      <c r="P16" s="25"/>
    </row>
    <row r="17" spans="1:16" ht="15.75">
      <c r="A17" s="44">
        <v>16</v>
      </c>
      <c r="B17" s="6">
        <v>116</v>
      </c>
      <c r="C17" s="45">
        <v>46154</v>
      </c>
      <c r="D17" s="46">
        <v>30</v>
      </c>
      <c r="E17" s="7" t="s">
        <v>142</v>
      </c>
      <c r="F17" s="7" t="s">
        <v>70</v>
      </c>
      <c r="G17" s="7" t="s">
        <v>36</v>
      </c>
      <c r="H17" s="5" t="s">
        <v>28</v>
      </c>
      <c r="I17" s="46" t="s">
        <v>48</v>
      </c>
      <c r="J17" s="46" t="s">
        <v>62</v>
      </c>
      <c r="K17" s="46" t="s">
        <v>116</v>
      </c>
      <c r="L17" s="7">
        <v>2</v>
      </c>
      <c r="M17" s="7">
        <v>2999</v>
      </c>
      <c r="N17" s="7" t="s">
        <v>56</v>
      </c>
      <c r="O17" s="16">
        <f>Table1[[#This Row],[PRICE UNIT]]*Table1[[#This Row],[QUANTITY]]</f>
        <v>5998</v>
      </c>
      <c r="P17" s="25"/>
    </row>
    <row r="18" spans="1:16" ht="15.75">
      <c r="A18" s="44">
        <v>17</v>
      </c>
      <c r="B18" s="6">
        <v>117</v>
      </c>
      <c r="C18" s="45" t="s">
        <v>143</v>
      </c>
      <c r="D18" s="46">
        <v>24</v>
      </c>
      <c r="E18" s="7" t="s">
        <v>144</v>
      </c>
      <c r="F18" s="7" t="s">
        <v>145</v>
      </c>
      <c r="G18" s="7" t="s">
        <v>40</v>
      </c>
      <c r="H18" s="5" t="s">
        <v>11</v>
      </c>
      <c r="I18" s="46" t="s">
        <v>49</v>
      </c>
      <c r="J18" s="46" t="s">
        <v>61</v>
      </c>
      <c r="K18" s="46" t="s">
        <v>146</v>
      </c>
      <c r="L18" s="7">
        <v>1</v>
      </c>
      <c r="M18" s="7">
        <v>1099</v>
      </c>
      <c r="N18" s="7" t="s">
        <v>57</v>
      </c>
      <c r="O18" s="16">
        <f>Table1[[#This Row],[PRICE UNIT]]*Table1[[#This Row],[QUANTITY]]</f>
        <v>1099</v>
      </c>
      <c r="P18" s="25"/>
    </row>
    <row r="19" spans="1:16" ht="15.75">
      <c r="A19" s="44">
        <v>18</v>
      </c>
      <c r="B19" s="6">
        <v>118</v>
      </c>
      <c r="C19" s="45" t="s">
        <v>147</v>
      </c>
      <c r="D19" s="46">
        <v>36</v>
      </c>
      <c r="E19" s="7" t="s">
        <v>148</v>
      </c>
      <c r="F19" s="7" t="s">
        <v>149</v>
      </c>
      <c r="G19" s="7" t="s">
        <v>8</v>
      </c>
      <c r="H19" s="5" t="s">
        <v>17</v>
      </c>
      <c r="I19" s="46" t="s">
        <v>48</v>
      </c>
      <c r="J19" s="46" t="s">
        <v>65</v>
      </c>
      <c r="K19" s="46" t="s">
        <v>110</v>
      </c>
      <c r="L19" s="7">
        <v>3</v>
      </c>
      <c r="M19" s="7">
        <v>1899</v>
      </c>
      <c r="N19" s="7" t="s">
        <v>53</v>
      </c>
      <c r="O19" s="16">
        <f>Table1[[#This Row],[PRICE UNIT]]*Table1[[#This Row],[QUANTITY]]</f>
        <v>5697</v>
      </c>
      <c r="P19" s="25"/>
    </row>
    <row r="20" spans="1:16" ht="15.75">
      <c r="A20" s="44">
        <v>19</v>
      </c>
      <c r="B20" s="6">
        <v>119</v>
      </c>
      <c r="C20" s="45" t="s">
        <v>150</v>
      </c>
      <c r="D20" s="46">
        <v>28</v>
      </c>
      <c r="E20" s="7" t="s">
        <v>151</v>
      </c>
      <c r="F20" s="7" t="s">
        <v>70</v>
      </c>
      <c r="G20" s="7" t="s">
        <v>44</v>
      </c>
      <c r="H20" s="5" t="s">
        <v>14</v>
      </c>
      <c r="I20" s="46" t="s">
        <v>49</v>
      </c>
      <c r="J20" s="46" t="s">
        <v>68</v>
      </c>
      <c r="K20" s="46" t="s">
        <v>152</v>
      </c>
      <c r="L20" s="7">
        <v>1</v>
      </c>
      <c r="M20" s="7">
        <v>2499</v>
      </c>
      <c r="N20" s="7" t="s">
        <v>54</v>
      </c>
      <c r="O20" s="16">
        <f>Table1[[#This Row],[PRICE UNIT]]*Table1[[#This Row],[QUANTITY]]</f>
        <v>2499</v>
      </c>
      <c r="P20" s="25"/>
    </row>
    <row r="21" spans="1:16" ht="15.75">
      <c r="A21" s="44">
        <v>20</v>
      </c>
      <c r="B21" s="6">
        <v>120</v>
      </c>
      <c r="C21" s="45">
        <v>46214</v>
      </c>
      <c r="D21" s="46">
        <v>42</v>
      </c>
      <c r="E21" s="7" t="s">
        <v>153</v>
      </c>
      <c r="F21" s="7" t="s">
        <v>154</v>
      </c>
      <c r="G21" s="7" t="s">
        <v>42</v>
      </c>
      <c r="H21" s="5" t="s">
        <v>19</v>
      </c>
      <c r="I21" s="46" t="s">
        <v>48</v>
      </c>
      <c r="J21" s="46" t="s">
        <v>62</v>
      </c>
      <c r="K21" s="46" t="s">
        <v>155</v>
      </c>
      <c r="L21" s="7">
        <v>2</v>
      </c>
      <c r="M21" s="7">
        <v>799</v>
      </c>
      <c r="N21" s="7" t="s">
        <v>56</v>
      </c>
      <c r="O21" s="16">
        <f>Table1[[#This Row],[PRICE UNIT]]*Table1[[#This Row],[QUANTITY]]</f>
        <v>1598</v>
      </c>
      <c r="P21" s="25"/>
    </row>
    <row r="22" spans="1:16" ht="15.75">
      <c r="A22" s="44">
        <v>21</v>
      </c>
      <c r="B22" s="6">
        <v>121</v>
      </c>
      <c r="C22" s="45">
        <v>46085</v>
      </c>
      <c r="D22" s="46">
        <v>20</v>
      </c>
      <c r="E22" s="7" t="s">
        <v>156</v>
      </c>
      <c r="F22" s="7" t="s">
        <v>157</v>
      </c>
      <c r="G22" s="7" t="s">
        <v>30</v>
      </c>
      <c r="H22" s="5" t="s">
        <v>26</v>
      </c>
      <c r="I22" s="46" t="s">
        <v>49</v>
      </c>
      <c r="J22" s="46" t="s">
        <v>61</v>
      </c>
      <c r="K22" s="46" t="s">
        <v>96</v>
      </c>
      <c r="L22" s="7">
        <v>1</v>
      </c>
      <c r="M22" s="7">
        <v>1599</v>
      </c>
      <c r="N22" s="7" t="s">
        <v>52</v>
      </c>
      <c r="O22" s="16">
        <f>Table1[[#This Row],[PRICE UNIT]]*Table1[[#This Row],[QUANTITY]]</f>
        <v>1599</v>
      </c>
      <c r="P22" s="25"/>
    </row>
    <row r="23" spans="1:16" ht="15.75">
      <c r="A23" s="44">
        <v>22</v>
      </c>
      <c r="B23" s="6">
        <v>122</v>
      </c>
      <c r="C23" s="45" t="s">
        <v>158</v>
      </c>
      <c r="D23" s="46">
        <v>33</v>
      </c>
      <c r="E23" s="7" t="s">
        <v>159</v>
      </c>
      <c r="F23" s="7" t="s">
        <v>160</v>
      </c>
      <c r="G23" s="7" t="s">
        <v>32</v>
      </c>
      <c r="H23" s="5" t="s">
        <v>15</v>
      </c>
      <c r="I23" s="46" t="s">
        <v>48</v>
      </c>
      <c r="J23" s="46" t="s">
        <v>65</v>
      </c>
      <c r="K23" s="46" t="s">
        <v>100</v>
      </c>
      <c r="L23" s="7">
        <v>2</v>
      </c>
      <c r="M23" s="7">
        <v>1999</v>
      </c>
      <c r="N23" s="7" t="s">
        <v>55</v>
      </c>
      <c r="O23" s="16">
        <f>Table1[[#This Row],[PRICE UNIT]]*Table1[[#This Row],[QUANTITY]]</f>
        <v>3998</v>
      </c>
      <c r="P23" s="25"/>
    </row>
    <row r="24" spans="1:16" ht="15.75">
      <c r="A24" s="44">
        <v>23</v>
      </c>
      <c r="B24" s="6">
        <v>123</v>
      </c>
      <c r="C24" s="45" t="s">
        <v>161</v>
      </c>
      <c r="D24" s="46">
        <v>39</v>
      </c>
      <c r="E24" s="7" t="s">
        <v>162</v>
      </c>
      <c r="F24" s="7" t="s">
        <v>163</v>
      </c>
      <c r="G24" s="7" t="s">
        <v>38</v>
      </c>
      <c r="H24" s="5" t="s">
        <v>23</v>
      </c>
      <c r="I24" s="46" t="s">
        <v>49</v>
      </c>
      <c r="J24" s="46" t="s">
        <v>62</v>
      </c>
      <c r="K24" s="46" t="s">
        <v>104</v>
      </c>
      <c r="L24" s="7">
        <v>3</v>
      </c>
      <c r="M24" s="7">
        <v>1299</v>
      </c>
      <c r="N24" s="7" t="s">
        <v>56</v>
      </c>
      <c r="O24" s="16">
        <f>Table1[[#This Row],[PRICE UNIT]]*Table1[[#This Row],[QUANTITY]]</f>
        <v>3897</v>
      </c>
      <c r="P24" s="25"/>
    </row>
    <row r="25" spans="1:16" ht="15.75">
      <c r="A25" s="44">
        <v>24</v>
      </c>
      <c r="B25" s="6">
        <v>124</v>
      </c>
      <c r="C25" s="45" t="s">
        <v>164</v>
      </c>
      <c r="D25" s="46">
        <v>45</v>
      </c>
      <c r="E25" s="7" t="s">
        <v>165</v>
      </c>
      <c r="F25" s="7" t="s">
        <v>166</v>
      </c>
      <c r="G25" s="7" t="s">
        <v>34</v>
      </c>
      <c r="H25" s="5" t="s">
        <v>21</v>
      </c>
      <c r="I25" s="46" t="s">
        <v>48</v>
      </c>
      <c r="J25" s="46" t="s">
        <v>68</v>
      </c>
      <c r="K25" s="46" t="s">
        <v>120</v>
      </c>
      <c r="L25" s="7">
        <v>1</v>
      </c>
      <c r="M25" s="7">
        <v>3499</v>
      </c>
      <c r="N25" s="7" t="s">
        <v>53</v>
      </c>
      <c r="O25" s="16">
        <f>Table1[[#This Row],[PRICE UNIT]]*Table1[[#This Row],[QUANTITY]]</f>
        <v>3499</v>
      </c>
      <c r="P25" s="25"/>
    </row>
    <row r="26" spans="1:16" ht="15.75">
      <c r="A26" s="44">
        <v>25</v>
      </c>
      <c r="B26" s="6">
        <v>125</v>
      </c>
      <c r="C26" s="45">
        <v>46357</v>
      </c>
      <c r="D26" s="46">
        <v>27</v>
      </c>
      <c r="E26" s="7" t="s">
        <v>167</v>
      </c>
      <c r="F26" s="7" t="s">
        <v>168</v>
      </c>
      <c r="G26" s="7" t="s">
        <v>40</v>
      </c>
      <c r="H26" s="5" t="s">
        <v>12</v>
      </c>
      <c r="I26" s="46" t="s">
        <v>49</v>
      </c>
      <c r="J26" s="46" t="s">
        <v>61</v>
      </c>
      <c r="K26" s="46" t="s">
        <v>107</v>
      </c>
      <c r="L26" s="7">
        <v>1</v>
      </c>
      <c r="M26" s="7">
        <v>899</v>
      </c>
      <c r="N26" s="7" t="s">
        <v>54</v>
      </c>
      <c r="O26" s="16">
        <f>Table1[[#This Row],[PRICE UNIT]]*Table1[[#This Row],[QUANTITY]]</f>
        <v>899</v>
      </c>
      <c r="P26" s="25"/>
    </row>
    <row r="27" spans="1:16" ht="15.75">
      <c r="A27" s="44">
        <v>26</v>
      </c>
      <c r="B27" s="6">
        <v>126</v>
      </c>
      <c r="C27" s="45" t="s">
        <v>169</v>
      </c>
      <c r="D27" s="46">
        <v>23</v>
      </c>
      <c r="E27" s="7" t="s">
        <v>170</v>
      </c>
      <c r="F27" s="7" t="s">
        <v>171</v>
      </c>
      <c r="G27" s="7" t="s">
        <v>36</v>
      </c>
      <c r="H27" s="5" t="s">
        <v>18</v>
      </c>
      <c r="I27" s="46" t="s">
        <v>48</v>
      </c>
      <c r="J27" s="46" t="s">
        <v>71</v>
      </c>
      <c r="K27" s="46" t="s">
        <v>113</v>
      </c>
      <c r="L27" s="7">
        <v>2</v>
      </c>
      <c r="M27" s="7">
        <v>2199</v>
      </c>
      <c r="N27" s="7" t="s">
        <v>57</v>
      </c>
      <c r="O27" s="16">
        <f>Table1[[#This Row],[PRICE UNIT]]*Table1[[#This Row],[QUANTITY]]</f>
        <v>4398</v>
      </c>
      <c r="P27" s="25"/>
    </row>
    <row r="28" spans="1:16" ht="15.75">
      <c r="A28" s="44">
        <v>27</v>
      </c>
      <c r="B28" s="6">
        <v>127</v>
      </c>
      <c r="C28" s="45">
        <v>46237</v>
      </c>
      <c r="D28" s="46">
        <v>34</v>
      </c>
      <c r="E28" s="7" t="s">
        <v>172</v>
      </c>
      <c r="F28" s="7" t="s">
        <v>173</v>
      </c>
      <c r="G28" s="7" t="s">
        <v>8</v>
      </c>
      <c r="H28" s="5" t="s">
        <v>27</v>
      </c>
      <c r="I28" s="46" t="s">
        <v>49</v>
      </c>
      <c r="J28" s="46" t="s">
        <v>62</v>
      </c>
      <c r="K28" s="46" t="s">
        <v>116</v>
      </c>
      <c r="L28" s="7">
        <v>1</v>
      </c>
      <c r="M28" s="7">
        <v>1499</v>
      </c>
      <c r="N28" s="7" t="s">
        <v>56</v>
      </c>
      <c r="O28" s="16">
        <f>Table1[[#This Row],[PRICE UNIT]]*Table1[[#This Row],[QUANTITY]]</f>
        <v>1499</v>
      </c>
      <c r="P28" s="25"/>
    </row>
    <row r="29" spans="1:16" ht="15.75">
      <c r="A29" s="44">
        <v>28</v>
      </c>
      <c r="B29" s="6">
        <v>128</v>
      </c>
      <c r="C29" s="45" t="s">
        <v>174</v>
      </c>
      <c r="D29" s="46">
        <v>29</v>
      </c>
      <c r="E29" s="7" t="s">
        <v>175</v>
      </c>
      <c r="F29" s="7" t="s">
        <v>176</v>
      </c>
      <c r="G29" s="7" t="s">
        <v>44</v>
      </c>
      <c r="H29" s="5" t="s">
        <v>9</v>
      </c>
      <c r="I29" s="46" t="s">
        <v>48</v>
      </c>
      <c r="J29" s="46" t="s">
        <v>61</v>
      </c>
      <c r="K29" s="46" t="s">
        <v>124</v>
      </c>
      <c r="L29" s="7">
        <v>3</v>
      </c>
      <c r="M29" s="7">
        <v>2799</v>
      </c>
      <c r="N29" s="7" t="s">
        <v>52</v>
      </c>
      <c r="O29" s="16">
        <f>Table1[[#This Row],[PRICE UNIT]]*Table1[[#This Row],[QUANTITY]]</f>
        <v>8397</v>
      </c>
      <c r="P29" s="25"/>
    </row>
    <row r="30" spans="1:16" ht="15.75">
      <c r="A30" s="44">
        <v>29</v>
      </c>
      <c r="B30" s="6">
        <v>129</v>
      </c>
      <c r="C30" s="45">
        <v>46058</v>
      </c>
      <c r="D30" s="46">
        <v>31</v>
      </c>
      <c r="E30" s="7" t="s">
        <v>177</v>
      </c>
      <c r="F30" s="7" t="s">
        <v>178</v>
      </c>
      <c r="G30" s="7" t="s">
        <v>30</v>
      </c>
      <c r="H30" s="5" t="s">
        <v>20</v>
      </c>
      <c r="I30" s="46" t="s">
        <v>48</v>
      </c>
      <c r="J30" s="46" t="s">
        <v>68</v>
      </c>
      <c r="K30" s="46" t="s">
        <v>128</v>
      </c>
      <c r="L30" s="7">
        <v>2</v>
      </c>
      <c r="M30" s="7">
        <v>999</v>
      </c>
      <c r="N30" s="7" t="s">
        <v>53</v>
      </c>
      <c r="O30" s="16">
        <f>Table1[[#This Row],[PRICE UNIT]]*Table1[[#This Row],[QUANTITY]]</f>
        <v>1998</v>
      </c>
      <c r="P30" s="25"/>
    </row>
    <row r="31" spans="1:16" ht="15.75">
      <c r="A31" s="44">
        <v>30</v>
      </c>
      <c r="B31" s="6">
        <v>130</v>
      </c>
      <c r="C31" s="45" t="s">
        <v>179</v>
      </c>
      <c r="D31" s="46">
        <v>26</v>
      </c>
      <c r="E31" s="7" t="s">
        <v>180</v>
      </c>
      <c r="F31" s="7" t="s">
        <v>181</v>
      </c>
      <c r="G31" s="7" t="s">
        <v>42</v>
      </c>
      <c r="H31" s="5" t="s">
        <v>13</v>
      </c>
      <c r="I31" s="46" t="s">
        <v>48</v>
      </c>
      <c r="J31" s="46" t="s">
        <v>65</v>
      </c>
      <c r="K31" s="46" t="s">
        <v>110</v>
      </c>
      <c r="L31" s="7">
        <v>1</v>
      </c>
      <c r="M31" s="7">
        <v>1699</v>
      </c>
      <c r="N31" s="7" t="s">
        <v>55</v>
      </c>
      <c r="O31" s="16">
        <f>Table1[[#This Row],[PRICE UNIT]]*Table1[[#This Row],[QUANTITY]]</f>
        <v>1699</v>
      </c>
      <c r="P31" s="25"/>
    </row>
    <row r="32" spans="1:16" ht="15.75">
      <c r="A32" s="44">
        <v>31</v>
      </c>
      <c r="B32" s="6">
        <v>131</v>
      </c>
      <c r="C32" s="45" t="s">
        <v>182</v>
      </c>
      <c r="D32" s="46">
        <v>40</v>
      </c>
      <c r="E32" s="7" t="s">
        <v>183</v>
      </c>
      <c r="F32" s="7" t="s">
        <v>184</v>
      </c>
      <c r="G32" s="7" t="s">
        <v>32</v>
      </c>
      <c r="H32" s="5" t="s">
        <v>16</v>
      </c>
      <c r="I32" s="46" t="s">
        <v>49</v>
      </c>
      <c r="J32" s="46" t="s">
        <v>62</v>
      </c>
      <c r="K32" s="46" t="s">
        <v>96</v>
      </c>
      <c r="L32" s="7">
        <v>2</v>
      </c>
      <c r="M32" s="7">
        <v>699</v>
      </c>
      <c r="N32" s="7" t="s">
        <v>54</v>
      </c>
      <c r="O32" s="16">
        <f>Table1[[#This Row],[PRICE UNIT]]*Table1[[#This Row],[QUANTITY]]</f>
        <v>1398</v>
      </c>
      <c r="P32" s="25"/>
    </row>
    <row r="33" spans="1:16" ht="15.75">
      <c r="A33" s="44">
        <v>32</v>
      </c>
      <c r="B33" s="6">
        <v>132</v>
      </c>
      <c r="C33" s="45" t="s">
        <v>185</v>
      </c>
      <c r="D33" s="46">
        <v>22</v>
      </c>
      <c r="E33" s="7" t="s">
        <v>186</v>
      </c>
      <c r="F33" s="7" t="s">
        <v>187</v>
      </c>
      <c r="G33" s="7" t="s">
        <v>38</v>
      </c>
      <c r="H33" s="5" t="s">
        <v>24</v>
      </c>
      <c r="I33" s="46" t="s">
        <v>48</v>
      </c>
      <c r="J33" s="46" t="s">
        <v>61</v>
      </c>
      <c r="K33" s="46" t="s">
        <v>100</v>
      </c>
      <c r="L33" s="7">
        <v>1</v>
      </c>
      <c r="M33" s="7">
        <v>2399</v>
      </c>
      <c r="N33" s="7" t="s">
        <v>56</v>
      </c>
      <c r="O33" s="16">
        <f>Table1[[#This Row],[PRICE UNIT]]*Table1[[#This Row],[QUANTITY]]</f>
        <v>2399</v>
      </c>
      <c r="P33" s="25"/>
    </row>
    <row r="34" spans="1:16" ht="15.75">
      <c r="A34" s="44">
        <v>33</v>
      </c>
      <c r="B34" s="6">
        <v>133</v>
      </c>
      <c r="C34" s="45" t="s">
        <v>188</v>
      </c>
      <c r="D34" s="46">
        <v>37</v>
      </c>
      <c r="E34" s="7" t="s">
        <v>189</v>
      </c>
      <c r="F34" s="7" t="s">
        <v>190</v>
      </c>
      <c r="G34" s="7" t="s">
        <v>36</v>
      </c>
      <c r="H34" s="5" t="s">
        <v>22</v>
      </c>
      <c r="I34" s="46" t="s">
        <v>49</v>
      </c>
      <c r="J34" s="46" t="s">
        <v>65</v>
      </c>
      <c r="K34" s="46" t="s">
        <v>136</v>
      </c>
      <c r="L34" s="7">
        <v>4</v>
      </c>
      <c r="M34" s="7">
        <v>1199</v>
      </c>
      <c r="N34" s="7" t="s">
        <v>57</v>
      </c>
      <c r="O34" s="16">
        <f>Table1[[#This Row],[PRICE UNIT]]*Table1[[#This Row],[QUANTITY]]</f>
        <v>4796</v>
      </c>
      <c r="P34" s="25"/>
    </row>
    <row r="35" spans="1:16" ht="15.75">
      <c r="A35" s="44">
        <v>34</v>
      </c>
      <c r="B35" s="6">
        <v>134</v>
      </c>
      <c r="C35" s="45">
        <v>46211</v>
      </c>
      <c r="D35" s="46">
        <v>25</v>
      </c>
      <c r="E35" s="7" t="s">
        <v>191</v>
      </c>
      <c r="F35" s="7" t="s">
        <v>192</v>
      </c>
      <c r="G35" s="7" t="s">
        <v>34</v>
      </c>
      <c r="H35" s="5" t="s">
        <v>10</v>
      </c>
      <c r="I35" s="46" t="s">
        <v>48</v>
      </c>
      <c r="J35" s="46" t="s">
        <v>68</v>
      </c>
      <c r="K35" s="46" t="s">
        <v>139</v>
      </c>
      <c r="L35" s="7">
        <v>1</v>
      </c>
      <c r="M35" s="7">
        <v>1899</v>
      </c>
      <c r="N35" s="7" t="s">
        <v>53</v>
      </c>
      <c r="O35" s="16">
        <f>Table1[[#This Row],[PRICE UNIT]]*Table1[[#This Row],[QUANTITY]]</f>
        <v>1899</v>
      </c>
      <c r="P35" s="25"/>
    </row>
    <row r="36" spans="1:16" ht="15.75">
      <c r="A36" s="44">
        <v>35</v>
      </c>
      <c r="B36" s="6">
        <v>135</v>
      </c>
      <c r="C36" s="45" t="s">
        <v>193</v>
      </c>
      <c r="D36" s="46">
        <v>30</v>
      </c>
      <c r="E36" s="7" t="s">
        <v>194</v>
      </c>
      <c r="F36" s="7" t="s">
        <v>195</v>
      </c>
      <c r="G36" s="7" t="s">
        <v>40</v>
      </c>
      <c r="H36" s="5" t="s">
        <v>25</v>
      </c>
      <c r="I36" s="46" t="s">
        <v>49</v>
      </c>
      <c r="J36" s="46" t="s">
        <v>62</v>
      </c>
      <c r="K36" s="46" t="s">
        <v>146</v>
      </c>
      <c r="L36" s="7">
        <v>2</v>
      </c>
      <c r="M36" s="7">
        <v>799</v>
      </c>
      <c r="N36" s="7" t="s">
        <v>52</v>
      </c>
      <c r="O36" s="16">
        <f>Table1[[#This Row],[PRICE UNIT]]*Table1[[#This Row],[QUANTITY]]</f>
        <v>1598</v>
      </c>
      <c r="P36" s="25"/>
    </row>
    <row r="37" spans="1:16" ht="15.75">
      <c r="A37" s="44">
        <v>36</v>
      </c>
      <c r="B37" s="6">
        <v>136</v>
      </c>
      <c r="C37" s="45">
        <v>46336</v>
      </c>
      <c r="D37" s="46">
        <v>19</v>
      </c>
      <c r="E37" s="7" t="s">
        <v>196</v>
      </c>
      <c r="F37" s="7" t="s">
        <v>83</v>
      </c>
      <c r="G37" s="7" t="s">
        <v>8</v>
      </c>
      <c r="H37" s="5" t="s">
        <v>28</v>
      </c>
      <c r="I37" s="46" t="s">
        <v>48</v>
      </c>
      <c r="J37" s="46" t="s">
        <v>71</v>
      </c>
      <c r="K37" s="46" t="s">
        <v>107</v>
      </c>
      <c r="L37" s="7">
        <v>3</v>
      </c>
      <c r="M37" s="7">
        <v>2499</v>
      </c>
      <c r="N37" s="7" t="s">
        <v>56</v>
      </c>
      <c r="O37" s="16">
        <f>Table1[[#This Row],[PRICE UNIT]]*Table1[[#This Row],[QUANTITY]]</f>
        <v>7497</v>
      </c>
      <c r="P37" s="25"/>
    </row>
    <row r="38" spans="1:16" ht="15.75">
      <c r="A38" s="44">
        <v>37</v>
      </c>
      <c r="B38" s="6">
        <v>137</v>
      </c>
      <c r="C38" s="45" t="s">
        <v>197</v>
      </c>
      <c r="D38" s="46">
        <v>43</v>
      </c>
      <c r="E38" s="7" t="s">
        <v>198</v>
      </c>
      <c r="F38" s="7" t="s">
        <v>64</v>
      </c>
      <c r="G38" s="7" t="s">
        <v>44</v>
      </c>
      <c r="H38" s="5" t="s">
        <v>11</v>
      </c>
      <c r="I38" s="46" t="s">
        <v>49</v>
      </c>
      <c r="J38" s="46" t="s">
        <v>61</v>
      </c>
      <c r="K38" s="46" t="s">
        <v>116</v>
      </c>
      <c r="L38" s="7">
        <v>1</v>
      </c>
      <c r="M38" s="7">
        <v>1399</v>
      </c>
      <c r="N38" s="7" t="s">
        <v>54</v>
      </c>
      <c r="O38" s="16">
        <f>Table1[[#This Row],[PRICE UNIT]]*Table1[[#This Row],[QUANTITY]]</f>
        <v>1399</v>
      </c>
      <c r="P38" s="25"/>
    </row>
    <row r="39" spans="1:16" ht="15.75">
      <c r="A39" s="44">
        <v>38</v>
      </c>
      <c r="B39" s="6">
        <v>138</v>
      </c>
      <c r="C39" s="45" t="s">
        <v>199</v>
      </c>
      <c r="D39" s="46">
        <v>28</v>
      </c>
      <c r="E39" s="7" t="s">
        <v>200</v>
      </c>
      <c r="F39" s="7" t="s">
        <v>201</v>
      </c>
      <c r="G39" s="7" t="s">
        <v>42</v>
      </c>
      <c r="H39" s="5" t="s">
        <v>17</v>
      </c>
      <c r="I39" s="46" t="s">
        <v>48</v>
      </c>
      <c r="J39" s="46" t="s">
        <v>62</v>
      </c>
      <c r="K39" s="46" t="s">
        <v>120</v>
      </c>
      <c r="L39" s="7">
        <v>2</v>
      </c>
      <c r="M39" s="7">
        <v>2999</v>
      </c>
      <c r="N39" s="7" t="s">
        <v>55</v>
      </c>
      <c r="O39" s="16">
        <f>Table1[[#This Row],[PRICE UNIT]]*Table1[[#This Row],[QUANTITY]]</f>
        <v>5998</v>
      </c>
      <c r="P39" s="25"/>
    </row>
    <row r="40" spans="1:16" ht="15.75">
      <c r="A40" s="44">
        <v>39</v>
      </c>
      <c r="B40" s="6">
        <v>139</v>
      </c>
      <c r="C40" s="45" t="s">
        <v>202</v>
      </c>
      <c r="D40" s="46">
        <v>35</v>
      </c>
      <c r="E40" s="7" t="s">
        <v>203</v>
      </c>
      <c r="F40" s="7" t="s">
        <v>204</v>
      </c>
      <c r="G40" s="7" t="s">
        <v>30</v>
      </c>
      <c r="H40" s="5" t="s">
        <v>14</v>
      </c>
      <c r="I40" s="46" t="s">
        <v>49</v>
      </c>
      <c r="J40" s="46" t="s">
        <v>68</v>
      </c>
      <c r="K40" s="46" t="s">
        <v>152</v>
      </c>
      <c r="L40" s="7">
        <v>1</v>
      </c>
      <c r="M40" s="7">
        <v>999</v>
      </c>
      <c r="N40" s="7" t="s">
        <v>53</v>
      </c>
      <c r="O40" s="16">
        <f>Table1[[#This Row],[PRICE UNIT]]*Table1[[#This Row],[QUANTITY]]</f>
        <v>999</v>
      </c>
      <c r="P40" s="25"/>
    </row>
    <row r="41" spans="1:16" ht="15.75">
      <c r="A41" s="44">
        <v>40</v>
      </c>
      <c r="B41" s="6">
        <v>140</v>
      </c>
      <c r="C41" s="45">
        <v>46065</v>
      </c>
      <c r="D41" s="46">
        <v>21</v>
      </c>
      <c r="E41" s="7" t="s">
        <v>205</v>
      </c>
      <c r="F41" s="7" t="s">
        <v>206</v>
      </c>
      <c r="G41" s="7" t="s">
        <v>38</v>
      </c>
      <c r="H41" s="5" t="s">
        <v>19</v>
      </c>
      <c r="I41" s="46" t="s">
        <v>48</v>
      </c>
      <c r="J41" s="46" t="s">
        <v>65</v>
      </c>
      <c r="K41" s="46" t="s">
        <v>155</v>
      </c>
      <c r="L41" s="7">
        <v>1</v>
      </c>
      <c r="M41" s="7">
        <v>1799</v>
      </c>
      <c r="N41" s="7" t="s">
        <v>56</v>
      </c>
      <c r="O41" s="16">
        <f>Table1[[#This Row],[PRICE UNIT]]*Table1[[#This Row],[QUANTITY]]</f>
        <v>1799</v>
      </c>
      <c r="P41" s="25"/>
    </row>
    <row r="42" spans="1:16" ht="15.75">
      <c r="A42" s="44">
        <v>41</v>
      </c>
      <c r="B42" s="6">
        <v>141</v>
      </c>
      <c r="C42" s="45" t="s">
        <v>207</v>
      </c>
      <c r="D42" s="46">
        <v>32</v>
      </c>
      <c r="E42" s="7" t="s">
        <v>208</v>
      </c>
      <c r="F42" s="7" t="s">
        <v>209</v>
      </c>
      <c r="G42" s="7" t="s">
        <v>32</v>
      </c>
      <c r="H42" s="5" t="s">
        <v>26</v>
      </c>
      <c r="I42" s="46" t="s">
        <v>49</v>
      </c>
      <c r="J42" s="46" t="s">
        <v>61</v>
      </c>
      <c r="K42" s="46" t="s">
        <v>96</v>
      </c>
      <c r="L42" s="7">
        <v>2</v>
      </c>
      <c r="M42" s="7">
        <v>699</v>
      </c>
      <c r="N42" s="7" t="s">
        <v>52</v>
      </c>
      <c r="O42" s="16">
        <f>Table1[[#This Row],[PRICE UNIT]]*Table1[[#This Row],[QUANTITY]]</f>
        <v>1398</v>
      </c>
      <c r="P42" s="25"/>
    </row>
    <row r="43" spans="1:16" ht="15.75">
      <c r="A43" s="44">
        <v>42</v>
      </c>
      <c r="B43" s="6">
        <v>142</v>
      </c>
      <c r="C43" s="45">
        <v>46365</v>
      </c>
      <c r="D43" s="46">
        <v>24</v>
      </c>
      <c r="E43" s="7" t="s">
        <v>210</v>
      </c>
      <c r="F43" s="7" t="s">
        <v>79</v>
      </c>
      <c r="G43" s="7" t="s">
        <v>34</v>
      </c>
      <c r="H43" s="5" t="s">
        <v>15</v>
      </c>
      <c r="I43" s="46" t="s">
        <v>48</v>
      </c>
      <c r="J43" s="46" t="s">
        <v>62</v>
      </c>
      <c r="K43" s="46" t="s">
        <v>104</v>
      </c>
      <c r="L43" s="7">
        <v>3</v>
      </c>
      <c r="M43" s="7">
        <v>2199</v>
      </c>
      <c r="N43" s="7" t="s">
        <v>57</v>
      </c>
      <c r="O43" s="16">
        <f>Table1[[#This Row],[PRICE UNIT]]*Table1[[#This Row],[QUANTITY]]</f>
        <v>6597</v>
      </c>
      <c r="P43" s="25"/>
    </row>
    <row r="44" spans="1:16" ht="15.75">
      <c r="A44" s="44">
        <v>43</v>
      </c>
      <c r="B44" s="6">
        <v>143</v>
      </c>
      <c r="C44" s="45">
        <v>46144</v>
      </c>
      <c r="D44" s="46">
        <v>39</v>
      </c>
      <c r="E44" s="7" t="s">
        <v>211</v>
      </c>
      <c r="F44" s="7" t="s">
        <v>212</v>
      </c>
      <c r="G44" s="7" t="s">
        <v>36</v>
      </c>
      <c r="H44" s="5" t="s">
        <v>23</v>
      </c>
      <c r="I44" s="46" t="s">
        <v>49</v>
      </c>
      <c r="J44" s="46" t="s">
        <v>71</v>
      </c>
      <c r="K44" s="46" t="s">
        <v>100</v>
      </c>
      <c r="L44" s="7">
        <v>1</v>
      </c>
      <c r="M44" s="7">
        <v>1599</v>
      </c>
      <c r="N44" s="7" t="s">
        <v>54</v>
      </c>
      <c r="O44" s="16">
        <f>Table1[[#This Row],[PRICE UNIT]]*Table1[[#This Row],[QUANTITY]]</f>
        <v>1599</v>
      </c>
      <c r="P44" s="25"/>
    </row>
    <row r="45" spans="1:16" ht="15.75">
      <c r="A45" s="44">
        <v>44</v>
      </c>
      <c r="B45" s="6">
        <v>144</v>
      </c>
      <c r="C45" s="45" t="s">
        <v>213</v>
      </c>
      <c r="D45" s="46">
        <v>27</v>
      </c>
      <c r="E45" s="7" t="s">
        <v>214</v>
      </c>
      <c r="F45" s="7" t="s">
        <v>67</v>
      </c>
      <c r="G45" s="7" t="s">
        <v>40</v>
      </c>
      <c r="H45" s="5" t="s">
        <v>21</v>
      </c>
      <c r="I45" s="46" t="s">
        <v>48</v>
      </c>
      <c r="J45" s="46" t="s">
        <v>68</v>
      </c>
      <c r="K45" s="46" t="s">
        <v>110</v>
      </c>
      <c r="L45" s="7">
        <v>2</v>
      </c>
      <c r="M45" s="7">
        <v>2899</v>
      </c>
      <c r="N45" s="7" t="s">
        <v>53</v>
      </c>
      <c r="O45" s="16">
        <f>Table1[[#This Row],[PRICE UNIT]]*Table1[[#This Row],[QUANTITY]]</f>
        <v>5798</v>
      </c>
      <c r="P45" s="25"/>
    </row>
    <row r="46" spans="1:16" ht="15.75">
      <c r="A46" s="44">
        <v>45</v>
      </c>
      <c r="B46" s="6">
        <v>145</v>
      </c>
      <c r="C46" s="45">
        <v>46269</v>
      </c>
      <c r="D46" s="46">
        <v>45</v>
      </c>
      <c r="E46" s="7" t="s">
        <v>215</v>
      </c>
      <c r="F46" s="7" t="s">
        <v>216</v>
      </c>
      <c r="G46" s="7" t="s">
        <v>8</v>
      </c>
      <c r="H46" s="5" t="s">
        <v>12</v>
      </c>
      <c r="I46" s="46" t="s">
        <v>49</v>
      </c>
      <c r="J46" s="46" t="s">
        <v>61</v>
      </c>
      <c r="K46" s="46" t="s">
        <v>107</v>
      </c>
      <c r="L46" s="7">
        <v>1</v>
      </c>
      <c r="M46" s="7">
        <v>1199</v>
      </c>
      <c r="N46" s="7" t="s">
        <v>56</v>
      </c>
      <c r="O46" s="16">
        <f>Table1[[#This Row],[PRICE UNIT]]*Table1[[#This Row],[QUANTITY]]</f>
        <v>1199</v>
      </c>
      <c r="P46" s="25"/>
    </row>
    <row r="47" spans="1:16" ht="15.75">
      <c r="A47" s="44">
        <v>46</v>
      </c>
      <c r="B47" s="6">
        <v>146</v>
      </c>
      <c r="C47" s="45" t="s">
        <v>217</v>
      </c>
      <c r="D47" s="46">
        <v>33</v>
      </c>
      <c r="E47" s="7" t="s">
        <v>218</v>
      </c>
      <c r="F47" s="7" t="s">
        <v>81</v>
      </c>
      <c r="G47" s="7" t="s">
        <v>44</v>
      </c>
      <c r="H47" s="5" t="s">
        <v>18</v>
      </c>
      <c r="I47" s="46" t="s">
        <v>48</v>
      </c>
      <c r="J47" s="46" t="s">
        <v>65</v>
      </c>
      <c r="K47" s="46" t="s">
        <v>124</v>
      </c>
      <c r="L47" s="7">
        <v>3</v>
      </c>
      <c r="M47" s="7">
        <v>1999</v>
      </c>
      <c r="N47" s="7" t="s">
        <v>55</v>
      </c>
      <c r="O47" s="16">
        <f>Table1[[#This Row],[PRICE UNIT]]*Table1[[#This Row],[QUANTITY]]</f>
        <v>5997</v>
      </c>
      <c r="P47" s="25"/>
    </row>
    <row r="48" spans="1:16" ht="15.75">
      <c r="A48" s="44">
        <v>47</v>
      </c>
      <c r="B48" s="6">
        <v>147</v>
      </c>
      <c r="C48" s="45">
        <v>46087</v>
      </c>
      <c r="D48" s="46">
        <v>29</v>
      </c>
      <c r="E48" s="7" t="s">
        <v>219</v>
      </c>
      <c r="F48" s="7" t="s">
        <v>220</v>
      </c>
      <c r="G48" s="7" t="s">
        <v>30</v>
      </c>
      <c r="H48" s="5" t="s">
        <v>27</v>
      </c>
      <c r="I48" s="46" t="s">
        <v>49</v>
      </c>
      <c r="J48" s="46" t="s">
        <v>62</v>
      </c>
      <c r="K48" s="46" t="s">
        <v>113</v>
      </c>
      <c r="L48" s="7">
        <v>2</v>
      </c>
      <c r="M48" s="7">
        <v>899</v>
      </c>
      <c r="N48" s="7" t="s">
        <v>52</v>
      </c>
      <c r="O48" s="16">
        <f>Table1[[#This Row],[PRICE UNIT]]*Table1[[#This Row],[QUANTITY]]</f>
        <v>1798</v>
      </c>
      <c r="P48" s="25"/>
    </row>
    <row r="49" spans="1:16" ht="15.75">
      <c r="A49" s="44">
        <v>48</v>
      </c>
      <c r="B49" s="6">
        <v>148</v>
      </c>
      <c r="C49" s="45" t="s">
        <v>221</v>
      </c>
      <c r="D49" s="46">
        <v>18</v>
      </c>
      <c r="E49" s="7" t="s">
        <v>222</v>
      </c>
      <c r="F49" s="7" t="s">
        <v>223</v>
      </c>
      <c r="G49" s="7" t="s">
        <v>32</v>
      </c>
      <c r="H49" s="5" t="s">
        <v>9</v>
      </c>
      <c r="I49" s="46" t="s">
        <v>48</v>
      </c>
      <c r="J49" s="46" t="s">
        <v>61</v>
      </c>
      <c r="K49" s="46" t="s">
        <v>116</v>
      </c>
      <c r="L49" s="7">
        <v>1</v>
      </c>
      <c r="M49" s="7">
        <v>3299</v>
      </c>
      <c r="N49" s="7" t="s">
        <v>56</v>
      </c>
      <c r="O49" s="16">
        <f>Table1[[#This Row],[PRICE UNIT]]*Table1[[#This Row],[QUANTITY]]</f>
        <v>3299</v>
      </c>
      <c r="P49" s="25"/>
    </row>
    <row r="50" spans="1:16" ht="15.75">
      <c r="A50" s="44">
        <v>49</v>
      </c>
      <c r="B50" s="6">
        <v>149</v>
      </c>
      <c r="C50" s="45" t="s">
        <v>224</v>
      </c>
      <c r="D50" s="46">
        <v>36</v>
      </c>
      <c r="E50" s="7" t="s">
        <v>225</v>
      </c>
      <c r="F50" s="7" t="s">
        <v>226</v>
      </c>
      <c r="G50" s="7" t="s">
        <v>42</v>
      </c>
      <c r="H50" s="5" t="s">
        <v>20</v>
      </c>
      <c r="I50" s="46" t="s">
        <v>49</v>
      </c>
      <c r="J50" s="46" t="s">
        <v>68</v>
      </c>
      <c r="K50" s="46" t="s">
        <v>128</v>
      </c>
      <c r="L50" s="7">
        <v>4</v>
      </c>
      <c r="M50" s="7">
        <v>1499</v>
      </c>
      <c r="N50" s="7" t="s">
        <v>53</v>
      </c>
      <c r="O50" s="16">
        <f>Table1[[#This Row],[PRICE UNIT]]*Table1[[#This Row],[QUANTITY]]</f>
        <v>5996</v>
      </c>
      <c r="P50" s="25"/>
    </row>
    <row r="51" spans="1:16" ht="15.75">
      <c r="A51" s="44">
        <v>50</v>
      </c>
      <c r="B51" s="6">
        <v>150</v>
      </c>
      <c r="C51" s="45">
        <v>46119</v>
      </c>
      <c r="D51" s="46">
        <v>41</v>
      </c>
      <c r="E51" s="7" t="s">
        <v>227</v>
      </c>
      <c r="F51" s="7" t="s">
        <v>228</v>
      </c>
      <c r="G51" s="7" t="s">
        <v>38</v>
      </c>
      <c r="H51" s="5" t="s">
        <v>13</v>
      </c>
      <c r="I51" s="46" t="s">
        <v>48</v>
      </c>
      <c r="J51" s="46" t="s">
        <v>62</v>
      </c>
      <c r="K51" s="46" t="s">
        <v>120</v>
      </c>
      <c r="L51" s="7">
        <v>1</v>
      </c>
      <c r="M51" s="7">
        <v>2599</v>
      </c>
      <c r="N51" s="7" t="s">
        <v>57</v>
      </c>
      <c r="O51" s="16">
        <f>Table1[[#This Row],[PRICE UNIT]]*Table1[[#This Row],[QUANTITY]]</f>
        <v>2599</v>
      </c>
      <c r="P51" s="25"/>
    </row>
    <row r="52" spans="1:16" ht="15.75">
      <c r="A52" s="44">
        <v>51</v>
      </c>
      <c r="B52" s="6">
        <v>151</v>
      </c>
      <c r="C52" s="45" t="s">
        <v>229</v>
      </c>
      <c r="D52" s="46">
        <v>26</v>
      </c>
      <c r="E52" s="7" t="s">
        <v>230</v>
      </c>
      <c r="F52" s="7" t="s">
        <v>231</v>
      </c>
      <c r="G52" s="7" t="s">
        <v>34</v>
      </c>
      <c r="H52" s="5" t="s">
        <v>16</v>
      </c>
      <c r="I52" s="46" t="s">
        <v>49</v>
      </c>
      <c r="J52" s="46" t="s">
        <v>65</v>
      </c>
      <c r="K52" s="46" t="s">
        <v>96</v>
      </c>
      <c r="L52" s="7">
        <v>2</v>
      </c>
      <c r="M52" s="7">
        <v>799</v>
      </c>
      <c r="N52" s="7" t="s">
        <v>54</v>
      </c>
      <c r="O52" s="16">
        <f>Table1[[#This Row],[PRICE UNIT]]*Table1[[#This Row],[QUANTITY]]</f>
        <v>1598</v>
      </c>
      <c r="P52" s="25"/>
    </row>
    <row r="53" spans="1:16" ht="15.75">
      <c r="A53" s="44">
        <v>52</v>
      </c>
      <c r="B53" s="6">
        <v>152</v>
      </c>
      <c r="C53" s="45" t="s">
        <v>232</v>
      </c>
      <c r="D53" s="46">
        <v>31</v>
      </c>
      <c r="E53" s="7" t="s">
        <v>233</v>
      </c>
      <c r="F53" s="7" t="s">
        <v>234</v>
      </c>
      <c r="G53" s="7" t="s">
        <v>40</v>
      </c>
      <c r="H53" s="5" t="s">
        <v>24</v>
      </c>
      <c r="I53" s="46" t="s">
        <v>48</v>
      </c>
      <c r="J53" s="46" t="s">
        <v>71</v>
      </c>
      <c r="K53" s="46" t="s">
        <v>100</v>
      </c>
      <c r="L53" s="7">
        <v>1</v>
      </c>
      <c r="M53" s="7">
        <v>1899</v>
      </c>
      <c r="N53" s="7" t="s">
        <v>56</v>
      </c>
      <c r="O53" s="16">
        <f>Table1[[#This Row],[PRICE UNIT]]*Table1[[#This Row],[QUANTITY]]</f>
        <v>1899</v>
      </c>
      <c r="P53" s="25"/>
    </row>
    <row r="54" spans="1:16" ht="15.75">
      <c r="A54" s="44">
        <v>53</v>
      </c>
      <c r="B54" s="6">
        <v>153</v>
      </c>
      <c r="C54" s="45">
        <v>46208</v>
      </c>
      <c r="D54" s="46">
        <v>23</v>
      </c>
      <c r="E54" s="7" t="s">
        <v>235</v>
      </c>
      <c r="F54" s="7" t="s">
        <v>236</v>
      </c>
      <c r="G54" s="7" t="s">
        <v>36</v>
      </c>
      <c r="H54" s="5" t="s">
        <v>22</v>
      </c>
      <c r="I54" s="46" t="s">
        <v>49</v>
      </c>
      <c r="J54" s="46" t="s">
        <v>61</v>
      </c>
      <c r="K54" s="46" t="s">
        <v>104</v>
      </c>
      <c r="L54" s="7">
        <v>3</v>
      </c>
      <c r="M54" s="7">
        <v>1299</v>
      </c>
      <c r="N54" s="7" t="s">
        <v>52</v>
      </c>
      <c r="O54" s="16">
        <f>Table1[[#This Row],[PRICE UNIT]]*Table1[[#This Row],[QUANTITY]]</f>
        <v>3897</v>
      </c>
      <c r="P54" s="25"/>
    </row>
    <row r="55" spans="1:16" ht="15.75">
      <c r="A55" s="44">
        <v>54</v>
      </c>
      <c r="B55" s="6">
        <v>154</v>
      </c>
      <c r="C55" s="45" t="s">
        <v>237</v>
      </c>
      <c r="D55" s="46">
        <v>38</v>
      </c>
      <c r="E55" s="7" t="s">
        <v>238</v>
      </c>
      <c r="F55" s="7" t="s">
        <v>239</v>
      </c>
      <c r="G55" s="7" t="s">
        <v>8</v>
      </c>
      <c r="H55" s="5" t="s">
        <v>10</v>
      </c>
      <c r="I55" s="46" t="s">
        <v>48</v>
      </c>
      <c r="J55" s="46" t="s">
        <v>62</v>
      </c>
      <c r="K55" s="46" t="s">
        <v>146</v>
      </c>
      <c r="L55" s="7">
        <v>2</v>
      </c>
      <c r="M55" s="7">
        <v>3499</v>
      </c>
      <c r="N55" s="7" t="s">
        <v>55</v>
      </c>
      <c r="O55" s="16">
        <f>Table1[[#This Row],[PRICE UNIT]]*Table1[[#This Row],[QUANTITY]]</f>
        <v>6998</v>
      </c>
      <c r="P55" s="25"/>
    </row>
    <row r="56" spans="1:16" ht="15.75">
      <c r="A56" s="44">
        <v>55</v>
      </c>
      <c r="B56" s="6">
        <v>155</v>
      </c>
      <c r="C56" s="45" t="s">
        <v>240</v>
      </c>
      <c r="D56" s="46">
        <v>28</v>
      </c>
      <c r="E56" s="7" t="s">
        <v>241</v>
      </c>
      <c r="F56" s="7" t="s">
        <v>242</v>
      </c>
      <c r="G56" s="7" t="s">
        <v>44</v>
      </c>
      <c r="H56" s="5" t="s">
        <v>25</v>
      </c>
      <c r="I56" s="46" t="s">
        <v>49</v>
      </c>
      <c r="J56" s="46" t="s">
        <v>68</v>
      </c>
      <c r="K56" s="46" t="s">
        <v>107</v>
      </c>
      <c r="L56" s="7">
        <v>1</v>
      </c>
      <c r="M56" s="7">
        <v>999</v>
      </c>
      <c r="N56" s="7" t="s">
        <v>53</v>
      </c>
      <c r="O56" s="16">
        <f>Table1[[#This Row],[PRICE UNIT]]*Table1[[#This Row],[QUANTITY]]</f>
        <v>999</v>
      </c>
      <c r="P56" s="25"/>
    </row>
    <row r="57" spans="1:16" ht="15.75">
      <c r="A57" s="44">
        <v>56</v>
      </c>
      <c r="B57" s="6">
        <v>156</v>
      </c>
      <c r="C57" s="45">
        <v>46092</v>
      </c>
      <c r="D57" s="46">
        <v>34</v>
      </c>
      <c r="E57" s="7" t="s">
        <v>243</v>
      </c>
      <c r="F57" s="7" t="s">
        <v>244</v>
      </c>
      <c r="G57" s="7" t="s">
        <v>42</v>
      </c>
      <c r="H57" s="5" t="s">
        <v>28</v>
      </c>
      <c r="I57" s="46" t="s">
        <v>48</v>
      </c>
      <c r="J57" s="46" t="s">
        <v>65</v>
      </c>
      <c r="K57" s="46" t="s">
        <v>110</v>
      </c>
      <c r="L57" s="7">
        <v>2</v>
      </c>
      <c r="M57" s="7">
        <v>2299</v>
      </c>
      <c r="N57" s="7" t="s">
        <v>56</v>
      </c>
      <c r="O57" s="16">
        <f>Table1[[#This Row],[PRICE UNIT]]*Table1[[#This Row],[QUANTITY]]</f>
        <v>4598</v>
      </c>
      <c r="P57" s="25"/>
    </row>
    <row r="58" spans="1:16" ht="15.75">
      <c r="A58" s="44">
        <v>57</v>
      </c>
      <c r="B58" s="6">
        <v>157</v>
      </c>
      <c r="C58" s="45" t="s">
        <v>245</v>
      </c>
      <c r="D58" s="46">
        <v>20</v>
      </c>
      <c r="E58" s="7" t="s">
        <v>246</v>
      </c>
      <c r="F58" s="7" t="s">
        <v>247</v>
      </c>
      <c r="G58" s="7" t="s">
        <v>30</v>
      </c>
      <c r="H58" s="5" t="s">
        <v>11</v>
      </c>
      <c r="I58" s="46" t="s">
        <v>49</v>
      </c>
      <c r="J58" s="46" t="s">
        <v>61</v>
      </c>
      <c r="K58" s="46" t="s">
        <v>152</v>
      </c>
      <c r="L58" s="7">
        <v>1</v>
      </c>
      <c r="M58" s="7">
        <v>1599</v>
      </c>
      <c r="N58" s="7" t="s">
        <v>54</v>
      </c>
      <c r="O58" s="16">
        <f>Table1[[#This Row],[PRICE UNIT]]*Table1[[#This Row],[QUANTITY]]</f>
        <v>1599</v>
      </c>
      <c r="P58" s="25"/>
    </row>
    <row r="59" spans="1:16" ht="15.75">
      <c r="A59" s="44">
        <v>58</v>
      </c>
      <c r="B59" s="6">
        <v>158</v>
      </c>
      <c r="C59" s="45">
        <v>46364</v>
      </c>
      <c r="D59" s="46">
        <v>42</v>
      </c>
      <c r="E59" s="7" t="s">
        <v>248</v>
      </c>
      <c r="F59" s="7" t="s">
        <v>157</v>
      </c>
      <c r="G59" s="7" t="s">
        <v>32</v>
      </c>
      <c r="H59" s="5" t="s">
        <v>17</v>
      </c>
      <c r="I59" s="46" t="s">
        <v>48</v>
      </c>
      <c r="J59" s="46" t="s">
        <v>62</v>
      </c>
      <c r="K59" s="46" t="s">
        <v>155</v>
      </c>
      <c r="L59" s="7">
        <v>3</v>
      </c>
      <c r="M59" s="7">
        <v>2799</v>
      </c>
      <c r="N59" s="7" t="s">
        <v>57</v>
      </c>
      <c r="O59" s="16">
        <f>Table1[[#This Row],[PRICE UNIT]]*Table1[[#This Row],[QUANTITY]]</f>
        <v>8397</v>
      </c>
      <c r="P59" s="25"/>
    </row>
    <row r="60" spans="1:16" ht="15.75">
      <c r="A60" s="44">
        <v>59</v>
      </c>
      <c r="B60" s="6">
        <v>159</v>
      </c>
      <c r="C60" s="45" t="s">
        <v>249</v>
      </c>
      <c r="D60" s="46">
        <v>25</v>
      </c>
      <c r="E60" s="7" t="s">
        <v>250</v>
      </c>
      <c r="F60" s="7" t="s">
        <v>251</v>
      </c>
      <c r="G60" s="7" t="s">
        <v>38</v>
      </c>
      <c r="H60" s="5" t="s">
        <v>14</v>
      </c>
      <c r="I60" s="46" t="s">
        <v>49</v>
      </c>
      <c r="J60" s="46" t="s">
        <v>68</v>
      </c>
      <c r="K60" s="46" t="s">
        <v>124</v>
      </c>
      <c r="L60" s="7">
        <v>1</v>
      </c>
      <c r="M60" s="7">
        <v>699</v>
      </c>
      <c r="N60" s="7" t="s">
        <v>56</v>
      </c>
      <c r="O60" s="16">
        <f>Table1[[#This Row],[PRICE UNIT]]*Table1[[#This Row],[QUANTITY]]</f>
        <v>699</v>
      </c>
      <c r="P60" s="25"/>
    </row>
    <row r="61" spans="1:16" ht="15.75">
      <c r="A61" s="44">
        <v>60</v>
      </c>
      <c r="B61" s="6">
        <v>160</v>
      </c>
      <c r="C61" s="45">
        <v>46244</v>
      </c>
      <c r="D61" s="46">
        <v>30</v>
      </c>
      <c r="E61" s="7" t="s">
        <v>252</v>
      </c>
      <c r="F61" s="7" t="s">
        <v>253</v>
      </c>
      <c r="G61" s="7" t="s">
        <v>36</v>
      </c>
      <c r="H61" s="5" t="s">
        <v>19</v>
      </c>
      <c r="I61" s="46" t="s">
        <v>48</v>
      </c>
      <c r="J61" s="46" t="s">
        <v>71</v>
      </c>
      <c r="K61" s="46" t="s">
        <v>116</v>
      </c>
      <c r="L61" s="7">
        <v>2</v>
      </c>
      <c r="M61" s="7">
        <v>1999</v>
      </c>
      <c r="N61" s="7" t="s">
        <v>53</v>
      </c>
      <c r="O61" s="16">
        <f>Table1[[#This Row],[PRICE UNIT]]*Table1[[#This Row],[QUANTITY]]</f>
        <v>3998</v>
      </c>
      <c r="P61" s="25"/>
    </row>
    <row r="62" spans="1:16" ht="15.75">
      <c r="A62" s="44">
        <v>61</v>
      </c>
      <c r="B62" s="6">
        <v>161</v>
      </c>
      <c r="C62" s="45">
        <v>46204</v>
      </c>
      <c r="D62" s="46">
        <v>37</v>
      </c>
      <c r="E62" s="7" t="s">
        <v>254</v>
      </c>
      <c r="F62" s="7" t="s">
        <v>255</v>
      </c>
      <c r="G62" s="7" t="s">
        <v>34</v>
      </c>
      <c r="H62" s="5" t="s">
        <v>26</v>
      </c>
      <c r="I62" s="46" t="s">
        <v>49</v>
      </c>
      <c r="J62" s="46" t="s">
        <v>62</v>
      </c>
      <c r="K62" s="46" t="s">
        <v>96</v>
      </c>
      <c r="L62" s="7">
        <v>1</v>
      </c>
      <c r="M62" s="7">
        <v>1199</v>
      </c>
      <c r="N62" s="7" t="s">
        <v>52</v>
      </c>
      <c r="O62" s="16">
        <f>Table1[[#This Row],[PRICE UNIT]]*Table1[[#This Row],[QUANTITY]]</f>
        <v>1199</v>
      </c>
      <c r="P62" s="25"/>
    </row>
    <row r="63" spans="1:16" ht="15.75">
      <c r="A63" s="44">
        <v>62</v>
      </c>
      <c r="B63" s="6">
        <v>162</v>
      </c>
      <c r="C63" s="45" t="s">
        <v>256</v>
      </c>
      <c r="D63" s="46">
        <v>22</v>
      </c>
      <c r="E63" s="7" t="s">
        <v>257</v>
      </c>
      <c r="F63" s="7" t="s">
        <v>258</v>
      </c>
      <c r="G63" s="7" t="s">
        <v>40</v>
      </c>
      <c r="H63" s="5" t="s">
        <v>15</v>
      </c>
      <c r="I63" s="46" t="s">
        <v>48</v>
      </c>
      <c r="J63" s="46" t="s">
        <v>61</v>
      </c>
      <c r="K63" s="46" t="s">
        <v>100</v>
      </c>
      <c r="L63" s="7">
        <v>4</v>
      </c>
      <c r="M63" s="7">
        <v>2499</v>
      </c>
      <c r="N63" s="7" t="s">
        <v>54</v>
      </c>
      <c r="O63" s="16">
        <f>Table1[[#This Row],[PRICE UNIT]]*Table1[[#This Row],[QUANTITY]]</f>
        <v>9996</v>
      </c>
      <c r="P63" s="25"/>
    </row>
    <row r="64" spans="1:16" ht="15.75">
      <c r="A64" s="44">
        <v>63</v>
      </c>
      <c r="B64" s="6">
        <v>163</v>
      </c>
      <c r="C64" s="45">
        <v>46056</v>
      </c>
      <c r="D64" s="46">
        <v>29</v>
      </c>
      <c r="E64" s="7" t="s">
        <v>259</v>
      </c>
      <c r="F64" s="7" t="s">
        <v>260</v>
      </c>
      <c r="G64" s="7" t="s">
        <v>8</v>
      </c>
      <c r="H64" s="5" t="s">
        <v>23</v>
      </c>
      <c r="I64" s="46" t="s">
        <v>49</v>
      </c>
      <c r="J64" s="46" t="s">
        <v>65</v>
      </c>
      <c r="K64" s="46" t="s">
        <v>136</v>
      </c>
      <c r="L64" s="7">
        <v>2</v>
      </c>
      <c r="M64" s="7">
        <v>899</v>
      </c>
      <c r="N64" s="7" t="s">
        <v>55</v>
      </c>
      <c r="O64" s="16">
        <f>Table1[[#This Row],[PRICE UNIT]]*Table1[[#This Row],[QUANTITY]]</f>
        <v>1798</v>
      </c>
      <c r="P64" s="25"/>
    </row>
    <row r="65" spans="1:16" ht="15.75">
      <c r="A65" s="44">
        <v>64</v>
      </c>
      <c r="B65" s="6">
        <v>164</v>
      </c>
      <c r="C65" s="45" t="s">
        <v>261</v>
      </c>
      <c r="D65" s="46">
        <v>35</v>
      </c>
      <c r="E65" s="7" t="s">
        <v>262</v>
      </c>
      <c r="F65" s="7" t="s">
        <v>263</v>
      </c>
      <c r="G65" s="7" t="s">
        <v>44</v>
      </c>
      <c r="H65" s="5" t="s">
        <v>21</v>
      </c>
      <c r="I65" s="46" t="s">
        <v>48</v>
      </c>
      <c r="J65" s="46" t="s">
        <v>68</v>
      </c>
      <c r="K65" s="46" t="s">
        <v>120</v>
      </c>
      <c r="L65" s="7">
        <v>1</v>
      </c>
      <c r="M65" s="7">
        <v>2999</v>
      </c>
      <c r="N65" s="7" t="s">
        <v>56</v>
      </c>
      <c r="O65" s="16">
        <f>Table1[[#This Row],[PRICE UNIT]]*Table1[[#This Row],[QUANTITY]]</f>
        <v>2999</v>
      </c>
      <c r="P65" s="25"/>
    </row>
    <row r="66" spans="1:16" ht="15.75">
      <c r="A66" s="44">
        <v>65</v>
      </c>
      <c r="B66" s="6">
        <v>165</v>
      </c>
      <c r="C66" s="45" t="s">
        <v>264</v>
      </c>
      <c r="D66" s="46">
        <v>24</v>
      </c>
      <c r="E66" s="7" t="s">
        <v>265</v>
      </c>
      <c r="F66" s="7" t="s">
        <v>266</v>
      </c>
      <c r="G66" s="7" t="s">
        <v>30</v>
      </c>
      <c r="H66" s="5" t="s">
        <v>12</v>
      </c>
      <c r="I66" s="46" t="s">
        <v>49</v>
      </c>
      <c r="J66" s="46" t="s">
        <v>62</v>
      </c>
      <c r="K66" s="46" t="s">
        <v>139</v>
      </c>
      <c r="L66" s="7">
        <v>3</v>
      </c>
      <c r="M66" s="7">
        <v>1399</v>
      </c>
      <c r="N66" s="7" t="s">
        <v>57</v>
      </c>
      <c r="O66" s="16">
        <f>Table1[[#This Row],[PRICE UNIT]]*Table1[[#This Row],[QUANTITY]]</f>
        <v>4197</v>
      </c>
      <c r="P66" s="25"/>
    </row>
    <row r="67" spans="1:16" ht="15.75">
      <c r="A67" s="44">
        <v>66</v>
      </c>
      <c r="B67" s="6">
        <v>166</v>
      </c>
      <c r="C67" s="45">
        <v>46243</v>
      </c>
      <c r="D67" s="46">
        <v>40</v>
      </c>
      <c r="E67" s="7" t="s">
        <v>267</v>
      </c>
      <c r="F67" s="7" t="s">
        <v>268</v>
      </c>
      <c r="G67" s="7" t="s">
        <v>42</v>
      </c>
      <c r="H67" s="5" t="s">
        <v>18</v>
      </c>
      <c r="I67" s="46" t="s">
        <v>48</v>
      </c>
      <c r="J67" s="46" t="s">
        <v>61</v>
      </c>
      <c r="K67" s="46" t="s">
        <v>107</v>
      </c>
      <c r="L67" s="7">
        <v>1</v>
      </c>
      <c r="M67" s="7">
        <v>1799</v>
      </c>
      <c r="N67" s="7" t="s">
        <v>53</v>
      </c>
      <c r="O67" s="16">
        <f>Table1[[#This Row],[PRICE UNIT]]*Table1[[#This Row],[QUANTITY]]</f>
        <v>1799</v>
      </c>
      <c r="P67" s="25"/>
    </row>
    <row r="68" spans="1:16" ht="15.75">
      <c r="A68" s="44">
        <v>67</v>
      </c>
      <c r="B68" s="6">
        <v>167</v>
      </c>
      <c r="C68" s="45" t="s">
        <v>269</v>
      </c>
      <c r="D68" s="46">
        <v>27</v>
      </c>
      <c r="E68" s="7" t="s">
        <v>270</v>
      </c>
      <c r="F68" s="7" t="s">
        <v>271</v>
      </c>
      <c r="G68" s="7" t="s">
        <v>38</v>
      </c>
      <c r="H68" s="5" t="s">
        <v>27</v>
      </c>
      <c r="I68" s="46" t="s">
        <v>49</v>
      </c>
      <c r="J68" s="46" t="s">
        <v>71</v>
      </c>
      <c r="K68" s="46" t="s">
        <v>113</v>
      </c>
      <c r="L68" s="7">
        <v>2</v>
      </c>
      <c r="M68" s="7">
        <v>799</v>
      </c>
      <c r="N68" s="7" t="s">
        <v>54</v>
      </c>
      <c r="O68" s="16">
        <f>Table1[[#This Row],[PRICE UNIT]]*Table1[[#This Row],[QUANTITY]]</f>
        <v>1598</v>
      </c>
      <c r="P68" s="25"/>
    </row>
    <row r="69" spans="1:16" ht="15.75">
      <c r="A69" s="44">
        <v>68</v>
      </c>
      <c r="B69" s="6">
        <v>168</v>
      </c>
      <c r="C69" s="45" t="s">
        <v>272</v>
      </c>
      <c r="D69" s="46">
        <v>32</v>
      </c>
      <c r="E69" s="7" t="s">
        <v>273</v>
      </c>
      <c r="F69" s="7" t="s">
        <v>274</v>
      </c>
      <c r="G69" s="7" t="s">
        <v>32</v>
      </c>
      <c r="H69" s="5" t="s">
        <v>9</v>
      </c>
      <c r="I69" s="46" t="s">
        <v>48</v>
      </c>
      <c r="J69" s="46" t="s">
        <v>62</v>
      </c>
      <c r="K69" s="46" t="s">
        <v>110</v>
      </c>
      <c r="L69" s="7">
        <v>1</v>
      </c>
      <c r="M69" s="7">
        <v>2199</v>
      </c>
      <c r="N69" s="7" t="s">
        <v>56</v>
      </c>
      <c r="O69" s="16">
        <f>Table1[[#This Row],[PRICE UNIT]]*Table1[[#This Row],[QUANTITY]]</f>
        <v>2199</v>
      </c>
      <c r="P69" s="25"/>
    </row>
    <row r="70" spans="1:16" ht="15.75">
      <c r="A70" s="44">
        <v>69</v>
      </c>
      <c r="B70" s="6">
        <v>169</v>
      </c>
      <c r="C70" s="45" t="s">
        <v>275</v>
      </c>
      <c r="D70" s="46">
        <v>21</v>
      </c>
      <c r="E70" s="7" t="s">
        <v>276</v>
      </c>
      <c r="F70" s="7" t="s">
        <v>277</v>
      </c>
      <c r="G70" s="7" t="s">
        <v>34</v>
      </c>
      <c r="H70" s="5" t="s">
        <v>20</v>
      </c>
      <c r="I70" s="46" t="s">
        <v>49</v>
      </c>
      <c r="J70" s="46" t="s">
        <v>68</v>
      </c>
      <c r="K70" s="46" t="s">
        <v>128</v>
      </c>
      <c r="L70" s="7">
        <v>2</v>
      </c>
      <c r="M70" s="7">
        <v>1499</v>
      </c>
      <c r="N70" s="7" t="s">
        <v>52</v>
      </c>
      <c r="O70" s="16">
        <f>Table1[[#This Row],[PRICE UNIT]]*Table1[[#This Row],[QUANTITY]]</f>
        <v>2998</v>
      </c>
      <c r="P70" s="25"/>
    </row>
    <row r="71" spans="1:16" ht="15.75">
      <c r="A71" s="44">
        <v>70</v>
      </c>
      <c r="B71" s="6">
        <v>170</v>
      </c>
      <c r="C71" s="45">
        <v>46089</v>
      </c>
      <c r="D71" s="46">
        <v>44</v>
      </c>
      <c r="E71" s="7" t="s">
        <v>278</v>
      </c>
      <c r="F71" s="7" t="s">
        <v>279</v>
      </c>
      <c r="G71" s="7" t="s">
        <v>36</v>
      </c>
      <c r="H71" s="5" t="s">
        <v>13</v>
      </c>
      <c r="I71" s="46" t="s">
        <v>48</v>
      </c>
      <c r="J71" s="46" t="s">
        <v>61</v>
      </c>
      <c r="K71" s="46" t="s">
        <v>96</v>
      </c>
      <c r="L71" s="7">
        <v>3</v>
      </c>
      <c r="M71" s="7">
        <v>3299</v>
      </c>
      <c r="N71" s="7" t="s">
        <v>53</v>
      </c>
      <c r="O71" s="16">
        <f>Table1[[#This Row],[PRICE UNIT]]*Table1[[#This Row],[QUANTITY]]</f>
        <v>9897</v>
      </c>
      <c r="P71" s="25"/>
    </row>
    <row r="72" spans="1:16" ht="15.75">
      <c r="A72" s="44">
        <v>71</v>
      </c>
      <c r="B72" s="6">
        <v>171</v>
      </c>
      <c r="C72" s="45" t="s">
        <v>280</v>
      </c>
      <c r="D72" s="46">
        <v>26</v>
      </c>
      <c r="E72" s="7" t="s">
        <v>281</v>
      </c>
      <c r="F72" s="7" t="s">
        <v>282</v>
      </c>
      <c r="G72" s="7" t="s">
        <v>40</v>
      </c>
      <c r="H72" s="5" t="s">
        <v>16</v>
      </c>
      <c r="I72" s="46" t="s">
        <v>49</v>
      </c>
      <c r="J72" s="46" t="s">
        <v>65</v>
      </c>
      <c r="K72" s="46" t="s">
        <v>104</v>
      </c>
      <c r="L72" s="7">
        <v>1</v>
      </c>
      <c r="M72" s="7">
        <v>999</v>
      </c>
      <c r="N72" s="7" t="s">
        <v>55</v>
      </c>
      <c r="O72" s="16">
        <f>Table1[[#This Row],[PRICE UNIT]]*Table1[[#This Row],[QUANTITY]]</f>
        <v>999</v>
      </c>
      <c r="P72" s="25"/>
    </row>
    <row r="73" spans="1:16" ht="15.75">
      <c r="A73" s="44">
        <v>72</v>
      </c>
      <c r="B73" s="6">
        <v>172</v>
      </c>
      <c r="C73" s="45" t="s">
        <v>283</v>
      </c>
      <c r="D73" s="46">
        <v>39</v>
      </c>
      <c r="E73" s="7" t="s">
        <v>284</v>
      </c>
      <c r="F73" s="7" t="s">
        <v>285</v>
      </c>
      <c r="G73" s="7" t="s">
        <v>8</v>
      </c>
      <c r="H73" s="5" t="s">
        <v>24</v>
      </c>
      <c r="I73" s="46" t="s">
        <v>48</v>
      </c>
      <c r="J73" s="46" t="s">
        <v>62</v>
      </c>
      <c r="K73" s="46" t="s">
        <v>100</v>
      </c>
      <c r="L73" s="7">
        <v>1</v>
      </c>
      <c r="M73" s="7">
        <v>2599</v>
      </c>
      <c r="N73" s="7" t="s">
        <v>56</v>
      </c>
      <c r="O73" s="16">
        <f>Table1[[#This Row],[PRICE UNIT]]*Table1[[#This Row],[QUANTITY]]</f>
        <v>2599</v>
      </c>
      <c r="P73" s="25"/>
    </row>
    <row r="74" spans="1:16" ht="15.75">
      <c r="A74" s="44">
        <v>73</v>
      </c>
      <c r="B74" s="6">
        <v>173</v>
      </c>
      <c r="C74" s="45" t="s">
        <v>286</v>
      </c>
      <c r="D74" s="46">
        <v>33</v>
      </c>
      <c r="E74" s="7" t="s">
        <v>287</v>
      </c>
      <c r="F74" s="7" t="s">
        <v>288</v>
      </c>
      <c r="G74" s="7" t="s">
        <v>44</v>
      </c>
      <c r="H74" s="5" t="s">
        <v>22</v>
      </c>
      <c r="I74" s="46" t="s">
        <v>49</v>
      </c>
      <c r="J74" s="46" t="s">
        <v>61</v>
      </c>
      <c r="K74" s="46" t="s">
        <v>116</v>
      </c>
      <c r="L74" s="7">
        <v>2</v>
      </c>
      <c r="M74" s="7">
        <v>1199</v>
      </c>
      <c r="N74" s="7" t="s">
        <v>54</v>
      </c>
      <c r="O74" s="16">
        <f>Table1[[#This Row],[PRICE UNIT]]*Table1[[#This Row],[QUANTITY]]</f>
        <v>2398</v>
      </c>
      <c r="P74" s="25"/>
    </row>
    <row r="75" spans="1:16" ht="15.75">
      <c r="A75" s="44">
        <v>74</v>
      </c>
      <c r="B75" s="6">
        <v>174</v>
      </c>
      <c r="C75" s="45">
        <v>46333</v>
      </c>
      <c r="D75" s="46">
        <v>28</v>
      </c>
      <c r="E75" s="7" t="s">
        <v>289</v>
      </c>
      <c r="F75" s="7" t="s">
        <v>290</v>
      </c>
      <c r="G75" s="7" t="s">
        <v>32</v>
      </c>
      <c r="H75" s="5" t="s">
        <v>10</v>
      </c>
      <c r="I75" s="46" t="s">
        <v>48</v>
      </c>
      <c r="J75" s="46" t="s">
        <v>68</v>
      </c>
      <c r="K75" s="46" t="s">
        <v>146</v>
      </c>
      <c r="L75" s="7">
        <v>4</v>
      </c>
      <c r="M75" s="7">
        <v>1899</v>
      </c>
      <c r="N75" s="7" t="s">
        <v>57</v>
      </c>
      <c r="O75" s="16">
        <f>Table1[[#This Row],[PRICE UNIT]]*Table1[[#This Row],[QUANTITY]]</f>
        <v>7596</v>
      </c>
      <c r="P75" s="25"/>
    </row>
    <row r="76" spans="1:16" ht="15.75">
      <c r="A76" s="44">
        <v>75</v>
      </c>
      <c r="B76" s="6">
        <v>175</v>
      </c>
      <c r="C76" s="45" t="s">
        <v>291</v>
      </c>
      <c r="D76" s="46">
        <v>19</v>
      </c>
      <c r="E76" s="7" t="s">
        <v>292</v>
      </c>
      <c r="F76" s="7" t="s">
        <v>293</v>
      </c>
      <c r="G76" s="7" t="s">
        <v>30</v>
      </c>
      <c r="H76" s="5" t="s">
        <v>25</v>
      </c>
      <c r="I76" s="46" t="s">
        <v>49</v>
      </c>
      <c r="J76" s="46" t="s">
        <v>71</v>
      </c>
      <c r="K76" s="46" t="s">
        <v>120</v>
      </c>
      <c r="L76" s="7">
        <v>1</v>
      </c>
      <c r="M76" s="7">
        <v>699</v>
      </c>
      <c r="N76" s="7" t="s">
        <v>53</v>
      </c>
      <c r="O76" s="16">
        <f>Table1[[#This Row],[PRICE UNIT]]*Table1[[#This Row],[QUANTITY]]</f>
        <v>699</v>
      </c>
      <c r="P76" s="25"/>
    </row>
    <row r="77" spans="1:16" ht="15.75">
      <c r="A77" s="44">
        <v>76</v>
      </c>
      <c r="B77" s="6">
        <v>176</v>
      </c>
      <c r="C77" s="45">
        <v>46246</v>
      </c>
      <c r="D77" s="46">
        <v>36</v>
      </c>
      <c r="E77" s="7" t="s">
        <v>294</v>
      </c>
      <c r="F77" s="7" t="s">
        <v>173</v>
      </c>
      <c r="G77" s="7" t="s">
        <v>42</v>
      </c>
      <c r="H77" s="5" t="s">
        <v>28</v>
      </c>
      <c r="I77" s="46" t="s">
        <v>48</v>
      </c>
      <c r="J77" s="46" t="s">
        <v>62</v>
      </c>
      <c r="K77" s="46" t="s">
        <v>107</v>
      </c>
      <c r="L77" s="7">
        <v>2</v>
      </c>
      <c r="M77" s="7">
        <v>2399</v>
      </c>
      <c r="N77" s="7" t="s">
        <v>56</v>
      </c>
      <c r="O77" s="16">
        <f>Table1[[#This Row],[PRICE UNIT]]*Table1[[#This Row],[QUANTITY]]</f>
        <v>4798</v>
      </c>
      <c r="P77" s="25"/>
    </row>
    <row r="78" spans="1:16" ht="15.75">
      <c r="A78" s="44">
        <v>77</v>
      </c>
      <c r="B78" s="6">
        <v>177</v>
      </c>
      <c r="C78" s="45">
        <v>46331</v>
      </c>
      <c r="D78" s="46">
        <v>23</v>
      </c>
      <c r="E78" s="7" t="s">
        <v>295</v>
      </c>
      <c r="F78" s="7" t="s">
        <v>296</v>
      </c>
      <c r="G78" s="7" t="s">
        <v>38</v>
      </c>
      <c r="H78" s="5" t="s">
        <v>11</v>
      </c>
      <c r="I78" s="46" t="s">
        <v>49</v>
      </c>
      <c r="J78" s="46" t="s">
        <v>65</v>
      </c>
      <c r="K78" s="46" t="s">
        <v>152</v>
      </c>
      <c r="L78" s="7">
        <v>1</v>
      </c>
      <c r="M78" s="7">
        <v>1599</v>
      </c>
      <c r="N78" s="7" t="s">
        <v>52</v>
      </c>
      <c r="O78" s="16">
        <f>Table1[[#This Row],[PRICE UNIT]]*Table1[[#This Row],[QUANTITY]]</f>
        <v>1599</v>
      </c>
      <c r="P78" s="25"/>
    </row>
    <row r="79" spans="1:16" ht="15.75">
      <c r="A79" s="44">
        <v>78</v>
      </c>
      <c r="B79" s="6">
        <v>178</v>
      </c>
      <c r="C79" s="45" t="s">
        <v>297</v>
      </c>
      <c r="D79" s="46">
        <v>31</v>
      </c>
      <c r="E79" s="7" t="s">
        <v>298</v>
      </c>
      <c r="F79" s="7" t="s">
        <v>299</v>
      </c>
      <c r="G79" s="7" t="s">
        <v>34</v>
      </c>
      <c r="H79" s="5" t="s">
        <v>17</v>
      </c>
      <c r="I79" s="46" t="s">
        <v>48</v>
      </c>
      <c r="J79" s="46" t="s">
        <v>61</v>
      </c>
      <c r="K79" s="46" t="s">
        <v>124</v>
      </c>
      <c r="L79" s="7">
        <v>3</v>
      </c>
      <c r="M79" s="7">
        <v>2799</v>
      </c>
      <c r="N79" s="7" t="s">
        <v>54</v>
      </c>
      <c r="O79" s="16">
        <f>Table1[[#This Row],[PRICE UNIT]]*Table1[[#This Row],[QUANTITY]]</f>
        <v>8397</v>
      </c>
      <c r="P79" s="25"/>
    </row>
    <row r="80" spans="1:16" ht="15.75">
      <c r="A80" s="44">
        <v>79</v>
      </c>
      <c r="B80" s="6">
        <v>179</v>
      </c>
      <c r="C80" s="45" t="s">
        <v>300</v>
      </c>
      <c r="D80" s="46">
        <v>25</v>
      </c>
      <c r="E80" s="7" t="s">
        <v>301</v>
      </c>
      <c r="F80" s="7" t="s">
        <v>302</v>
      </c>
      <c r="G80" s="7" t="s">
        <v>40</v>
      </c>
      <c r="H80" s="5" t="s">
        <v>14</v>
      </c>
      <c r="I80" s="46" t="s">
        <v>49</v>
      </c>
      <c r="J80" s="46" t="s">
        <v>68</v>
      </c>
      <c r="K80" s="46" t="s">
        <v>110</v>
      </c>
      <c r="L80" s="7">
        <v>2</v>
      </c>
      <c r="M80" s="7">
        <v>899</v>
      </c>
      <c r="N80" s="7" t="s">
        <v>56</v>
      </c>
      <c r="O80" s="16">
        <f>Table1[[#This Row],[PRICE UNIT]]*Table1[[#This Row],[QUANTITY]]</f>
        <v>1798</v>
      </c>
      <c r="P80" s="25"/>
    </row>
    <row r="81" spans="1:16" ht="15.75">
      <c r="A81" s="44">
        <v>80</v>
      </c>
      <c r="B81" s="6">
        <v>180</v>
      </c>
      <c r="C81" s="45">
        <v>46367</v>
      </c>
      <c r="D81" s="46">
        <v>43</v>
      </c>
      <c r="E81" s="7" t="s">
        <v>303</v>
      </c>
      <c r="F81" s="7" t="s">
        <v>274</v>
      </c>
      <c r="G81" s="7" t="s">
        <v>36</v>
      </c>
      <c r="H81" s="5" t="s">
        <v>19</v>
      </c>
      <c r="I81" s="46" t="s">
        <v>48</v>
      </c>
      <c r="J81" s="46" t="s">
        <v>62</v>
      </c>
      <c r="K81" s="46" t="s">
        <v>96</v>
      </c>
      <c r="L81" s="7">
        <v>1</v>
      </c>
      <c r="M81" s="7">
        <v>1999</v>
      </c>
      <c r="N81" s="7" t="s">
        <v>55</v>
      </c>
      <c r="O81" s="16">
        <f>Table1[[#This Row],[PRICE UNIT]]*Table1[[#This Row],[QUANTITY]]</f>
        <v>1999</v>
      </c>
      <c r="P81" s="25"/>
    </row>
    <row r="82" spans="1:16" ht="15.75">
      <c r="A82" s="44">
        <v>81</v>
      </c>
      <c r="B82" s="6">
        <v>181</v>
      </c>
      <c r="C82" s="45">
        <v>46177</v>
      </c>
      <c r="D82" s="46">
        <v>30</v>
      </c>
      <c r="E82" s="7" t="s">
        <v>304</v>
      </c>
      <c r="F82" s="7" t="s">
        <v>305</v>
      </c>
      <c r="G82" s="7" t="s">
        <v>8</v>
      </c>
      <c r="H82" s="5" t="s">
        <v>26</v>
      </c>
      <c r="I82" s="46" t="s">
        <v>49</v>
      </c>
      <c r="J82" s="46" t="s">
        <v>61</v>
      </c>
      <c r="K82" s="46" t="s">
        <v>100</v>
      </c>
      <c r="L82" s="7">
        <v>2</v>
      </c>
      <c r="M82" s="7">
        <v>1299</v>
      </c>
      <c r="N82" s="7" t="s">
        <v>53</v>
      </c>
      <c r="O82" s="16">
        <f>Table1[[#This Row],[PRICE UNIT]]*Table1[[#This Row],[QUANTITY]]</f>
        <v>2598</v>
      </c>
      <c r="P82" s="25"/>
    </row>
    <row r="83" spans="1:16" ht="15.75">
      <c r="A83" s="44">
        <v>82</v>
      </c>
      <c r="B83" s="6">
        <v>182</v>
      </c>
      <c r="C83" s="45" t="s">
        <v>306</v>
      </c>
      <c r="D83" s="46">
        <v>22</v>
      </c>
      <c r="E83" s="7" t="s">
        <v>307</v>
      </c>
      <c r="F83" s="7" t="s">
        <v>73</v>
      </c>
      <c r="G83" s="7" t="s">
        <v>44</v>
      </c>
      <c r="H83" s="5" t="s">
        <v>15</v>
      </c>
      <c r="I83" s="46" t="s">
        <v>48</v>
      </c>
      <c r="J83" s="46" t="s">
        <v>65</v>
      </c>
      <c r="K83" s="46" t="s">
        <v>104</v>
      </c>
      <c r="L83" s="7">
        <v>1</v>
      </c>
      <c r="M83" s="7">
        <v>3499</v>
      </c>
      <c r="N83" s="7" t="s">
        <v>57</v>
      </c>
      <c r="O83" s="16">
        <f>Table1[[#This Row],[PRICE UNIT]]*Table1[[#This Row],[QUANTITY]]</f>
        <v>3499</v>
      </c>
      <c r="P83" s="25"/>
    </row>
    <row r="84" spans="1:16" ht="15.75">
      <c r="A84" s="44">
        <v>83</v>
      </c>
      <c r="B84" s="6">
        <v>183</v>
      </c>
      <c r="C84" s="45" t="s">
        <v>308</v>
      </c>
      <c r="D84" s="46">
        <v>34</v>
      </c>
      <c r="E84" s="7" t="s">
        <v>309</v>
      </c>
      <c r="F84" s="7" t="s">
        <v>310</v>
      </c>
      <c r="G84" s="7" t="s">
        <v>30</v>
      </c>
      <c r="H84" s="5" t="s">
        <v>23</v>
      </c>
      <c r="I84" s="46" t="s">
        <v>49</v>
      </c>
      <c r="J84" s="46" t="s">
        <v>62</v>
      </c>
      <c r="K84" s="46" t="s">
        <v>107</v>
      </c>
      <c r="L84" s="7">
        <v>3</v>
      </c>
      <c r="M84" s="7">
        <v>799</v>
      </c>
      <c r="N84" s="7" t="s">
        <v>56</v>
      </c>
      <c r="O84" s="16">
        <f>Table1[[#This Row],[PRICE UNIT]]*Table1[[#This Row],[QUANTITY]]</f>
        <v>2397</v>
      </c>
      <c r="P84" s="25"/>
    </row>
    <row r="85" spans="1:16" ht="15.75">
      <c r="A85" s="44">
        <v>84</v>
      </c>
      <c r="B85" s="6">
        <v>184</v>
      </c>
      <c r="C85" s="45">
        <v>46063</v>
      </c>
      <c r="D85" s="46">
        <v>27</v>
      </c>
      <c r="E85" s="7" t="s">
        <v>311</v>
      </c>
      <c r="F85" s="7" t="s">
        <v>70</v>
      </c>
      <c r="G85" s="7" t="s">
        <v>38</v>
      </c>
      <c r="H85" s="5" t="s">
        <v>21</v>
      </c>
      <c r="I85" s="46" t="s">
        <v>48</v>
      </c>
      <c r="J85" s="46" t="s">
        <v>71</v>
      </c>
      <c r="K85" s="46" t="s">
        <v>136</v>
      </c>
      <c r="L85" s="7">
        <v>2</v>
      </c>
      <c r="M85" s="7">
        <v>2299</v>
      </c>
      <c r="N85" s="7" t="s">
        <v>54</v>
      </c>
      <c r="O85" s="16">
        <f>Table1[[#This Row],[PRICE UNIT]]*Table1[[#This Row],[QUANTITY]]</f>
        <v>4598</v>
      </c>
      <c r="P85" s="25"/>
    </row>
    <row r="86" spans="1:16" ht="15.75">
      <c r="A86" s="44">
        <v>85</v>
      </c>
      <c r="B86" s="6">
        <v>185</v>
      </c>
      <c r="C86" s="45" t="s">
        <v>312</v>
      </c>
      <c r="D86" s="46">
        <v>41</v>
      </c>
      <c r="E86" s="7" t="s">
        <v>313</v>
      </c>
      <c r="F86" s="7" t="s">
        <v>314</v>
      </c>
      <c r="G86" s="7" t="s">
        <v>42</v>
      </c>
      <c r="H86" s="5" t="s">
        <v>12</v>
      </c>
      <c r="I86" s="46" t="s">
        <v>49</v>
      </c>
      <c r="J86" s="46" t="s">
        <v>68</v>
      </c>
      <c r="K86" s="46" t="s">
        <v>113</v>
      </c>
      <c r="L86" s="7">
        <v>1</v>
      </c>
      <c r="M86" s="7">
        <v>1399</v>
      </c>
      <c r="N86" s="7" t="s">
        <v>52</v>
      </c>
      <c r="O86" s="16">
        <f>Table1[[#This Row],[PRICE UNIT]]*Table1[[#This Row],[QUANTITY]]</f>
        <v>1399</v>
      </c>
      <c r="P86" s="25"/>
    </row>
    <row r="87" spans="1:16" ht="15.75">
      <c r="A87" s="44">
        <v>86</v>
      </c>
      <c r="B87" s="6">
        <v>186</v>
      </c>
      <c r="C87" s="45" t="s">
        <v>315</v>
      </c>
      <c r="D87" s="46">
        <v>29</v>
      </c>
      <c r="E87" s="7" t="s">
        <v>316</v>
      </c>
      <c r="F87" s="7" t="s">
        <v>64</v>
      </c>
      <c r="G87" s="7" t="s">
        <v>32</v>
      </c>
      <c r="H87" s="5" t="s">
        <v>18</v>
      </c>
      <c r="I87" s="46" t="s">
        <v>48</v>
      </c>
      <c r="J87" s="46" t="s">
        <v>61</v>
      </c>
      <c r="K87" s="46" t="s">
        <v>116</v>
      </c>
      <c r="L87" s="7">
        <v>4</v>
      </c>
      <c r="M87" s="7">
        <v>2999</v>
      </c>
      <c r="N87" s="7" t="s">
        <v>53</v>
      </c>
      <c r="O87" s="16">
        <f>Table1[[#This Row],[PRICE UNIT]]*Table1[[#This Row],[QUANTITY]]</f>
        <v>11996</v>
      </c>
      <c r="P87" s="25"/>
    </row>
    <row r="88" spans="1:16" ht="15.75">
      <c r="A88" s="44">
        <v>87</v>
      </c>
      <c r="B88" s="6">
        <v>187</v>
      </c>
      <c r="C88" s="45" t="s">
        <v>317</v>
      </c>
      <c r="D88" s="46">
        <v>38</v>
      </c>
      <c r="E88" s="7" t="s">
        <v>318</v>
      </c>
      <c r="F88" s="7" t="s">
        <v>319</v>
      </c>
      <c r="G88" s="7" t="s">
        <v>36</v>
      </c>
      <c r="H88" s="5" t="s">
        <v>27</v>
      </c>
      <c r="I88" s="46" t="s">
        <v>49</v>
      </c>
      <c r="J88" s="46" t="s">
        <v>62</v>
      </c>
      <c r="K88" s="46" t="s">
        <v>120</v>
      </c>
      <c r="L88" s="7">
        <v>1</v>
      </c>
      <c r="M88" s="7">
        <v>999</v>
      </c>
      <c r="N88" s="7" t="s">
        <v>56</v>
      </c>
      <c r="O88" s="16">
        <f>Table1[[#This Row],[PRICE UNIT]]*Table1[[#This Row],[QUANTITY]]</f>
        <v>999</v>
      </c>
      <c r="P88" s="25"/>
    </row>
    <row r="89" spans="1:16" ht="15.75">
      <c r="A89" s="44">
        <v>88</v>
      </c>
      <c r="B89" s="6">
        <v>188</v>
      </c>
      <c r="C89" s="45" t="s">
        <v>320</v>
      </c>
      <c r="D89" s="46">
        <v>24</v>
      </c>
      <c r="E89" s="7" t="s">
        <v>321</v>
      </c>
      <c r="F89" s="7" t="s">
        <v>73</v>
      </c>
      <c r="G89" s="7" t="s">
        <v>34</v>
      </c>
      <c r="H89" s="5" t="s">
        <v>9</v>
      </c>
      <c r="I89" s="46" t="s">
        <v>48</v>
      </c>
      <c r="J89" s="46" t="s">
        <v>65</v>
      </c>
      <c r="K89" s="46" t="s">
        <v>155</v>
      </c>
      <c r="L89" s="7">
        <v>2</v>
      </c>
      <c r="M89" s="7">
        <v>1899</v>
      </c>
      <c r="N89" s="7" t="s">
        <v>55</v>
      </c>
      <c r="O89" s="16">
        <f>Table1[[#This Row],[PRICE UNIT]]*Table1[[#This Row],[QUANTITY]]</f>
        <v>3798</v>
      </c>
      <c r="P89" s="25"/>
    </row>
    <row r="90" spans="1:16" ht="15.75">
      <c r="A90" s="44">
        <v>89</v>
      </c>
      <c r="B90" s="6">
        <v>189</v>
      </c>
      <c r="C90" s="45">
        <v>46147</v>
      </c>
      <c r="D90" s="46">
        <v>35</v>
      </c>
      <c r="E90" s="7" t="s">
        <v>322</v>
      </c>
      <c r="F90" s="7" t="s">
        <v>323</v>
      </c>
      <c r="G90" s="7" t="s">
        <v>40</v>
      </c>
      <c r="H90" s="5" t="s">
        <v>20</v>
      </c>
      <c r="I90" s="46" t="s">
        <v>49</v>
      </c>
      <c r="J90" s="46" t="s">
        <v>68</v>
      </c>
      <c r="K90" s="46" t="s">
        <v>128</v>
      </c>
      <c r="L90" s="7">
        <v>1</v>
      </c>
      <c r="M90" s="7">
        <v>699</v>
      </c>
      <c r="N90" s="7" t="s">
        <v>54</v>
      </c>
      <c r="O90" s="16">
        <f>Table1[[#This Row],[PRICE UNIT]]*Table1[[#This Row],[QUANTITY]]</f>
        <v>699</v>
      </c>
      <c r="P90" s="25"/>
    </row>
    <row r="91" spans="1:16" ht="15.75">
      <c r="A91" s="44">
        <v>90</v>
      </c>
      <c r="B91" s="6">
        <v>190</v>
      </c>
      <c r="C91" s="45" t="s">
        <v>324</v>
      </c>
      <c r="D91" s="46">
        <v>20</v>
      </c>
      <c r="E91" s="7" t="s">
        <v>325</v>
      </c>
      <c r="F91" s="7" t="s">
        <v>326</v>
      </c>
      <c r="G91" s="7" t="s">
        <v>8</v>
      </c>
      <c r="H91" s="5" t="s">
        <v>13</v>
      </c>
      <c r="I91" s="46" t="s">
        <v>48</v>
      </c>
      <c r="J91" s="46" t="s">
        <v>61</v>
      </c>
      <c r="K91" s="46" t="s">
        <v>96</v>
      </c>
      <c r="L91" s="7">
        <v>3</v>
      </c>
      <c r="M91" s="7">
        <v>2499</v>
      </c>
      <c r="N91" s="7" t="s">
        <v>57</v>
      </c>
      <c r="O91" s="16">
        <f>Table1[[#This Row],[PRICE UNIT]]*Table1[[#This Row],[QUANTITY]]</f>
        <v>7497</v>
      </c>
      <c r="P91" s="25"/>
    </row>
    <row r="92" spans="1:16" ht="15.75">
      <c r="A92" s="44">
        <v>91</v>
      </c>
      <c r="B92" s="6">
        <v>191</v>
      </c>
      <c r="C92" s="45">
        <v>46205</v>
      </c>
      <c r="D92" s="46">
        <v>32</v>
      </c>
      <c r="E92" s="7" t="s">
        <v>327</v>
      </c>
      <c r="F92" s="7" t="s">
        <v>328</v>
      </c>
      <c r="G92" s="7" t="s">
        <v>44</v>
      </c>
      <c r="H92" s="5" t="s">
        <v>16</v>
      </c>
      <c r="I92" s="46" t="s">
        <v>49</v>
      </c>
      <c r="J92" s="46" t="s">
        <v>71</v>
      </c>
      <c r="K92" s="46" t="s">
        <v>100</v>
      </c>
      <c r="L92" s="7">
        <v>2</v>
      </c>
      <c r="M92" s="7">
        <v>1199</v>
      </c>
      <c r="N92" s="7" t="s">
        <v>56</v>
      </c>
      <c r="O92" s="16">
        <f>Table1[[#This Row],[PRICE UNIT]]*Table1[[#This Row],[QUANTITY]]</f>
        <v>2398</v>
      </c>
      <c r="P92" s="25"/>
    </row>
    <row r="93" spans="1:16" ht="15.75">
      <c r="A93" s="44">
        <v>92</v>
      </c>
      <c r="B93" s="6">
        <v>192</v>
      </c>
      <c r="C93" s="45" t="s">
        <v>329</v>
      </c>
      <c r="D93" s="46">
        <v>26</v>
      </c>
      <c r="E93" s="7" t="s">
        <v>330</v>
      </c>
      <c r="F93" s="7" t="s">
        <v>331</v>
      </c>
      <c r="G93" s="7" t="s">
        <v>42</v>
      </c>
      <c r="H93" s="5" t="s">
        <v>24</v>
      </c>
      <c r="I93" s="46" t="s">
        <v>48</v>
      </c>
      <c r="J93" s="46" t="s">
        <v>62</v>
      </c>
      <c r="K93" s="46" t="s">
        <v>139</v>
      </c>
      <c r="L93" s="7">
        <v>1</v>
      </c>
      <c r="M93" s="7">
        <v>2199</v>
      </c>
      <c r="N93" s="7" t="s">
        <v>53</v>
      </c>
      <c r="O93" s="16">
        <f>Table1[[#This Row],[PRICE UNIT]]*Table1[[#This Row],[QUANTITY]]</f>
        <v>2199</v>
      </c>
      <c r="P93" s="25"/>
    </row>
    <row r="94" spans="1:16" ht="15.75">
      <c r="A94" s="44">
        <v>93</v>
      </c>
      <c r="B94" s="6">
        <v>193</v>
      </c>
      <c r="C94" s="45">
        <v>46360</v>
      </c>
      <c r="D94" s="46">
        <v>45</v>
      </c>
      <c r="E94" s="7" t="s">
        <v>332</v>
      </c>
      <c r="F94" s="7" t="s">
        <v>103</v>
      </c>
      <c r="G94" s="7" t="s">
        <v>30</v>
      </c>
      <c r="H94" s="5" t="s">
        <v>22</v>
      </c>
      <c r="I94" s="46" t="s">
        <v>49</v>
      </c>
      <c r="J94" s="46" t="s">
        <v>65</v>
      </c>
      <c r="K94" s="46" t="s">
        <v>110</v>
      </c>
      <c r="L94" s="7">
        <v>2</v>
      </c>
      <c r="M94" s="7">
        <v>1599</v>
      </c>
      <c r="N94" s="7" t="s">
        <v>52</v>
      </c>
      <c r="O94" s="16">
        <f>Table1[[#This Row],[PRICE UNIT]]*Table1[[#This Row],[QUANTITY]]</f>
        <v>3198</v>
      </c>
      <c r="P94" s="25"/>
    </row>
    <row r="95" spans="1:16" ht="15.75">
      <c r="A95" s="44">
        <v>94</v>
      </c>
      <c r="B95" s="6">
        <v>194</v>
      </c>
      <c r="C95" s="45" t="s">
        <v>333</v>
      </c>
      <c r="D95" s="46">
        <v>31</v>
      </c>
      <c r="E95" s="7" t="s">
        <v>334</v>
      </c>
      <c r="F95" s="7" t="s">
        <v>335</v>
      </c>
      <c r="G95" s="7" t="s">
        <v>32</v>
      </c>
      <c r="H95" s="5" t="s">
        <v>10</v>
      </c>
      <c r="I95" s="46" t="s">
        <v>48</v>
      </c>
      <c r="J95" s="46" t="s">
        <v>68</v>
      </c>
      <c r="K95" s="46" t="s">
        <v>146</v>
      </c>
      <c r="L95" s="7">
        <v>1</v>
      </c>
      <c r="M95" s="7">
        <v>2799</v>
      </c>
      <c r="N95" s="7" t="s">
        <v>56</v>
      </c>
      <c r="O95" s="16">
        <f>Table1[[#This Row],[PRICE UNIT]]*Table1[[#This Row],[QUANTITY]]</f>
        <v>2799</v>
      </c>
      <c r="P95" s="25"/>
    </row>
    <row r="96" spans="1:16" ht="15.75">
      <c r="A96" s="44">
        <v>95</v>
      </c>
      <c r="B96" s="6">
        <v>195</v>
      </c>
      <c r="C96" s="45">
        <v>46240</v>
      </c>
      <c r="D96" s="46">
        <v>23</v>
      </c>
      <c r="E96" s="7" t="s">
        <v>336</v>
      </c>
      <c r="F96" s="7" t="s">
        <v>337</v>
      </c>
      <c r="G96" s="7" t="s">
        <v>38</v>
      </c>
      <c r="H96" s="5" t="s">
        <v>25</v>
      </c>
      <c r="I96" s="46" t="s">
        <v>49</v>
      </c>
      <c r="J96" s="46" t="s">
        <v>61</v>
      </c>
      <c r="K96" s="46" t="s">
        <v>107</v>
      </c>
      <c r="L96" s="7">
        <v>3</v>
      </c>
      <c r="M96" s="7">
        <v>899</v>
      </c>
      <c r="N96" s="7" t="s">
        <v>54</v>
      </c>
      <c r="O96" s="16">
        <f>Table1[[#This Row],[PRICE UNIT]]*Table1[[#This Row],[QUANTITY]]</f>
        <v>2697</v>
      </c>
      <c r="P96" s="25"/>
    </row>
    <row r="97" spans="1:16" ht="15.75">
      <c r="A97" s="44">
        <v>96</v>
      </c>
      <c r="B97" s="6">
        <v>196</v>
      </c>
      <c r="C97" s="45" t="s">
        <v>338</v>
      </c>
      <c r="D97" s="46">
        <v>37</v>
      </c>
      <c r="E97" s="7" t="s">
        <v>339</v>
      </c>
      <c r="F97" s="7" t="s">
        <v>340</v>
      </c>
      <c r="G97" s="7" t="s">
        <v>34</v>
      </c>
      <c r="H97" s="5" t="s">
        <v>28</v>
      </c>
      <c r="I97" s="46" t="s">
        <v>48</v>
      </c>
      <c r="J97" s="46" t="s">
        <v>62</v>
      </c>
      <c r="K97" s="46" t="s">
        <v>152</v>
      </c>
      <c r="L97" s="7">
        <v>1</v>
      </c>
      <c r="M97" s="7">
        <v>3299</v>
      </c>
      <c r="N97" s="7" t="s">
        <v>55</v>
      </c>
      <c r="O97" s="16">
        <f>Table1[[#This Row],[PRICE UNIT]]*Table1[[#This Row],[QUANTITY]]</f>
        <v>3299</v>
      </c>
      <c r="P97" s="25"/>
    </row>
    <row r="98" spans="1:16" ht="15.75">
      <c r="A98" s="44">
        <v>97</v>
      </c>
      <c r="B98" s="6">
        <v>197</v>
      </c>
      <c r="C98" s="45" t="s">
        <v>341</v>
      </c>
      <c r="D98" s="46">
        <v>28</v>
      </c>
      <c r="E98" s="7" t="s">
        <v>342</v>
      </c>
      <c r="F98" s="7" t="s">
        <v>343</v>
      </c>
      <c r="G98" s="7" t="s">
        <v>36</v>
      </c>
      <c r="H98" s="5" t="s">
        <v>11</v>
      </c>
      <c r="I98" s="46" t="s">
        <v>49</v>
      </c>
      <c r="J98" s="46" t="s">
        <v>71</v>
      </c>
      <c r="K98" s="46" t="s">
        <v>104</v>
      </c>
      <c r="L98" s="7">
        <v>2</v>
      </c>
      <c r="M98" s="7">
        <v>1299</v>
      </c>
      <c r="N98" s="7" t="s">
        <v>53</v>
      </c>
      <c r="O98" s="16">
        <f>Table1[[#This Row],[PRICE UNIT]]*Table1[[#This Row],[QUANTITY]]</f>
        <v>2598</v>
      </c>
      <c r="P98" s="25"/>
    </row>
    <row r="99" spans="1:16" ht="15.75">
      <c r="A99" s="44">
        <v>98</v>
      </c>
      <c r="B99" s="6">
        <v>198</v>
      </c>
      <c r="C99" s="45">
        <v>46060</v>
      </c>
      <c r="D99" s="46">
        <v>40</v>
      </c>
      <c r="E99" s="7" t="s">
        <v>344</v>
      </c>
      <c r="F99" s="7" t="s">
        <v>345</v>
      </c>
      <c r="G99" s="7" t="s">
        <v>40</v>
      </c>
      <c r="H99" s="5" t="s">
        <v>17</v>
      </c>
      <c r="I99" s="46" t="s">
        <v>48</v>
      </c>
      <c r="J99" s="46" t="s">
        <v>65</v>
      </c>
      <c r="K99" s="46" t="s">
        <v>124</v>
      </c>
      <c r="L99" s="7">
        <v>4</v>
      </c>
      <c r="M99" s="7">
        <v>1999</v>
      </c>
      <c r="N99" s="7" t="s">
        <v>57</v>
      </c>
      <c r="O99" s="16">
        <f>Table1[[#This Row],[PRICE UNIT]]*Table1[[#This Row],[QUANTITY]]</f>
        <v>7996</v>
      </c>
      <c r="P99" s="25"/>
    </row>
    <row r="100" spans="1:16" ht="15.75">
      <c r="A100" s="44">
        <v>99</v>
      </c>
      <c r="B100" s="6">
        <v>199</v>
      </c>
      <c r="C100" s="45" t="s">
        <v>346</v>
      </c>
      <c r="D100" s="46">
        <v>21</v>
      </c>
      <c r="E100" s="7" t="s">
        <v>347</v>
      </c>
      <c r="F100" s="7" t="s">
        <v>348</v>
      </c>
      <c r="G100" s="7" t="s">
        <v>8</v>
      </c>
      <c r="H100" s="5" t="s">
        <v>14</v>
      </c>
      <c r="I100" s="46" t="s">
        <v>49</v>
      </c>
      <c r="J100" s="46" t="s">
        <v>62</v>
      </c>
      <c r="K100" s="46" t="s">
        <v>116</v>
      </c>
      <c r="L100" s="7">
        <v>1</v>
      </c>
      <c r="M100" s="7">
        <v>799</v>
      </c>
      <c r="N100" s="7" t="s">
        <v>56</v>
      </c>
      <c r="O100" s="16">
        <f>Table1[[#This Row],[PRICE UNIT]]*Table1[[#This Row],[QUANTITY]]</f>
        <v>799</v>
      </c>
      <c r="P100" s="25"/>
    </row>
    <row r="101" spans="1:16" ht="15.75">
      <c r="A101" s="44">
        <v>100</v>
      </c>
      <c r="B101" s="6">
        <v>200</v>
      </c>
      <c r="C101" s="45">
        <v>46338</v>
      </c>
      <c r="D101" s="46">
        <v>33</v>
      </c>
      <c r="E101" s="7" t="s">
        <v>349</v>
      </c>
      <c r="F101" s="7" t="s">
        <v>350</v>
      </c>
      <c r="G101" s="7" t="s">
        <v>44</v>
      </c>
      <c r="H101" s="5" t="s">
        <v>19</v>
      </c>
      <c r="I101" s="46" t="s">
        <v>48</v>
      </c>
      <c r="J101" s="46" t="s">
        <v>68</v>
      </c>
      <c r="K101" s="46" t="s">
        <v>96</v>
      </c>
      <c r="L101" s="7">
        <v>2</v>
      </c>
      <c r="M101" s="7">
        <v>2399</v>
      </c>
      <c r="N101" s="7" t="s">
        <v>52</v>
      </c>
      <c r="O101" s="16">
        <f>Table1[[#This Row],[PRICE UNIT]]*Table1[[#This Row],[QUANTITY]]</f>
        <v>4798</v>
      </c>
      <c r="P101" s="25"/>
    </row>
    <row r="102" spans="1:16" ht="15.75">
      <c r="A102" s="44">
        <v>101</v>
      </c>
      <c r="B102" s="6">
        <v>201</v>
      </c>
      <c r="C102" s="45" t="s">
        <v>351</v>
      </c>
      <c r="D102" s="46">
        <v>25</v>
      </c>
      <c r="E102" s="7" t="s">
        <v>352</v>
      </c>
      <c r="F102" s="7" t="s">
        <v>353</v>
      </c>
      <c r="G102" s="7" t="s">
        <v>30</v>
      </c>
      <c r="H102" s="5" t="s">
        <v>26</v>
      </c>
      <c r="I102" s="46" t="s">
        <v>49</v>
      </c>
      <c r="J102" s="46" t="s">
        <v>61</v>
      </c>
      <c r="K102" s="46" t="s">
        <v>100</v>
      </c>
      <c r="L102" s="7">
        <v>1</v>
      </c>
      <c r="M102" s="7">
        <v>1499</v>
      </c>
      <c r="N102" s="7" t="s">
        <v>54</v>
      </c>
      <c r="O102" s="16">
        <f>Table1[[#This Row],[PRICE UNIT]]*Table1[[#This Row],[QUANTITY]]</f>
        <v>1499</v>
      </c>
      <c r="P102" s="25"/>
    </row>
    <row r="103" spans="1:16" ht="15.75">
      <c r="A103" s="44">
        <v>102</v>
      </c>
      <c r="B103" s="6">
        <v>202</v>
      </c>
      <c r="C103" s="45">
        <v>46090</v>
      </c>
      <c r="D103" s="46">
        <v>39</v>
      </c>
      <c r="E103" s="7" t="s">
        <v>354</v>
      </c>
      <c r="F103" s="7" t="s">
        <v>355</v>
      </c>
      <c r="G103" s="7" t="s">
        <v>32</v>
      </c>
      <c r="H103" s="5" t="s">
        <v>15</v>
      </c>
      <c r="I103" s="46" t="s">
        <v>48</v>
      </c>
      <c r="J103" s="46" t="s">
        <v>65</v>
      </c>
      <c r="K103" s="46" t="s">
        <v>120</v>
      </c>
      <c r="L103" s="7">
        <v>3</v>
      </c>
      <c r="M103" s="7">
        <v>2899</v>
      </c>
      <c r="N103" s="7" t="s">
        <v>53</v>
      </c>
      <c r="O103" s="16">
        <f>Table1[[#This Row],[PRICE UNIT]]*Table1[[#This Row],[QUANTITY]]</f>
        <v>8697</v>
      </c>
      <c r="P103" s="25"/>
    </row>
    <row r="104" spans="1:16" ht="15.75">
      <c r="A104" s="44">
        <v>103</v>
      </c>
      <c r="B104" s="6">
        <v>203</v>
      </c>
      <c r="C104" s="45" t="s">
        <v>356</v>
      </c>
      <c r="D104" s="46">
        <v>30</v>
      </c>
      <c r="E104" s="7" t="s">
        <v>357</v>
      </c>
      <c r="F104" s="7" t="s">
        <v>358</v>
      </c>
      <c r="G104" s="7" t="s">
        <v>42</v>
      </c>
      <c r="H104" s="5" t="s">
        <v>23</v>
      </c>
      <c r="I104" s="46" t="s">
        <v>49</v>
      </c>
      <c r="J104" s="46" t="s">
        <v>62</v>
      </c>
      <c r="K104" s="46" t="s">
        <v>107</v>
      </c>
      <c r="L104" s="7">
        <v>2</v>
      </c>
      <c r="M104" s="7">
        <v>999</v>
      </c>
      <c r="N104" s="7" t="s">
        <v>56</v>
      </c>
      <c r="O104" s="16">
        <f>Table1[[#This Row],[PRICE UNIT]]*Table1[[#This Row],[QUANTITY]]</f>
        <v>1998</v>
      </c>
      <c r="P104" s="25"/>
    </row>
    <row r="105" spans="1:16" ht="15.75">
      <c r="A105" s="44">
        <v>104</v>
      </c>
      <c r="B105" s="6">
        <v>204</v>
      </c>
      <c r="C105" s="45">
        <v>46184</v>
      </c>
      <c r="D105" s="46">
        <v>18</v>
      </c>
      <c r="E105" s="7" t="s">
        <v>359</v>
      </c>
      <c r="F105" s="7" t="s">
        <v>360</v>
      </c>
      <c r="G105" s="7" t="s">
        <v>38</v>
      </c>
      <c r="H105" s="5" t="s">
        <v>21</v>
      </c>
      <c r="I105" s="46" t="s">
        <v>48</v>
      </c>
      <c r="J105" s="46" t="s">
        <v>61</v>
      </c>
      <c r="K105" s="46" t="s">
        <v>110</v>
      </c>
      <c r="L105" s="7">
        <v>1</v>
      </c>
      <c r="M105" s="7">
        <v>1799</v>
      </c>
      <c r="N105" s="7" t="s">
        <v>55</v>
      </c>
      <c r="O105" s="16">
        <f>Table1[[#This Row],[PRICE UNIT]]*Table1[[#This Row],[QUANTITY]]</f>
        <v>1799</v>
      </c>
      <c r="P105" s="25"/>
    </row>
    <row r="106" spans="1:16" ht="15.75">
      <c r="A106" s="44">
        <v>105</v>
      </c>
      <c r="B106" s="6">
        <v>205</v>
      </c>
      <c r="C106" s="45" t="s">
        <v>361</v>
      </c>
      <c r="D106" s="46">
        <v>36</v>
      </c>
      <c r="E106" s="7" t="s">
        <v>362</v>
      </c>
      <c r="F106" s="7" t="s">
        <v>363</v>
      </c>
      <c r="G106" s="7" t="s">
        <v>36</v>
      </c>
      <c r="H106" s="5" t="s">
        <v>12</v>
      </c>
      <c r="I106" s="46" t="s">
        <v>49</v>
      </c>
      <c r="J106" s="46" t="s">
        <v>68</v>
      </c>
      <c r="K106" s="46" t="s">
        <v>113</v>
      </c>
      <c r="L106" s="7">
        <v>2</v>
      </c>
      <c r="M106" s="7">
        <v>699</v>
      </c>
      <c r="N106" s="7" t="s">
        <v>57</v>
      </c>
      <c r="O106" s="16">
        <f>Table1[[#This Row],[PRICE UNIT]]*Table1[[#This Row],[QUANTITY]]</f>
        <v>1398</v>
      </c>
      <c r="P106" s="25"/>
    </row>
    <row r="107" spans="1:16" ht="15.75">
      <c r="A107" s="44">
        <v>106</v>
      </c>
      <c r="B107" s="6">
        <v>206</v>
      </c>
      <c r="C107" s="45">
        <v>46273</v>
      </c>
      <c r="D107" s="46">
        <v>27</v>
      </c>
      <c r="E107" s="7" t="s">
        <v>364</v>
      </c>
      <c r="F107" s="7" t="s">
        <v>365</v>
      </c>
      <c r="G107" s="7" t="s">
        <v>34</v>
      </c>
      <c r="H107" s="5" t="s">
        <v>18</v>
      </c>
      <c r="I107" s="46" t="s">
        <v>48</v>
      </c>
      <c r="J107" s="46" t="s">
        <v>71</v>
      </c>
      <c r="K107" s="46" t="s">
        <v>104</v>
      </c>
      <c r="L107" s="7">
        <v>1</v>
      </c>
      <c r="M107" s="7">
        <v>2599</v>
      </c>
      <c r="N107" s="7" t="s">
        <v>56</v>
      </c>
      <c r="O107" s="16">
        <f>Table1[[#This Row],[PRICE UNIT]]*Table1[[#This Row],[QUANTITY]]</f>
        <v>2599</v>
      </c>
      <c r="P107" s="25"/>
    </row>
    <row r="108" spans="1:16" ht="15.75">
      <c r="A108" s="44">
        <v>107</v>
      </c>
      <c r="B108" s="6">
        <v>207</v>
      </c>
      <c r="C108" s="45" t="s">
        <v>366</v>
      </c>
      <c r="D108" s="46">
        <v>42</v>
      </c>
      <c r="E108" s="7" t="s">
        <v>367</v>
      </c>
      <c r="F108" s="7" t="s">
        <v>368</v>
      </c>
      <c r="G108" s="7" t="s">
        <v>40</v>
      </c>
      <c r="H108" s="5" t="s">
        <v>27</v>
      </c>
      <c r="I108" s="46" t="s">
        <v>49</v>
      </c>
      <c r="J108" s="46" t="s">
        <v>62</v>
      </c>
      <c r="K108" s="46" t="s">
        <v>128</v>
      </c>
      <c r="L108" s="7">
        <v>4</v>
      </c>
      <c r="M108" s="7">
        <v>1199</v>
      </c>
      <c r="N108" s="7" t="s">
        <v>54</v>
      </c>
      <c r="O108" s="16">
        <f>Table1[[#This Row],[PRICE UNIT]]*Table1[[#This Row],[QUANTITY]]</f>
        <v>4796</v>
      </c>
      <c r="P108" s="25"/>
    </row>
    <row r="109" spans="1:16" ht="15.75">
      <c r="A109" s="44">
        <v>108</v>
      </c>
      <c r="B109" s="6">
        <v>208</v>
      </c>
      <c r="C109" s="45" t="s">
        <v>369</v>
      </c>
      <c r="D109" s="46">
        <v>24</v>
      </c>
      <c r="E109" s="7" t="s">
        <v>370</v>
      </c>
      <c r="F109" s="7" t="s">
        <v>371</v>
      </c>
      <c r="G109" s="7" t="s">
        <v>8</v>
      </c>
      <c r="H109" s="5" t="s">
        <v>9</v>
      </c>
      <c r="I109" s="46" t="s">
        <v>48</v>
      </c>
      <c r="J109" s="46" t="s">
        <v>65</v>
      </c>
      <c r="K109" s="46" t="s">
        <v>116</v>
      </c>
      <c r="L109" s="7">
        <v>2</v>
      </c>
      <c r="M109" s="7">
        <v>2299</v>
      </c>
      <c r="N109" s="7" t="s">
        <v>53</v>
      </c>
      <c r="O109" s="16">
        <f>Table1[[#This Row],[PRICE UNIT]]*Table1[[#This Row],[QUANTITY]]</f>
        <v>4598</v>
      </c>
      <c r="P109" s="25"/>
    </row>
    <row r="110" spans="1:16" ht="15.75">
      <c r="A110" s="44">
        <v>109</v>
      </c>
      <c r="B110" s="6">
        <v>209</v>
      </c>
      <c r="C110" s="45">
        <v>46296</v>
      </c>
      <c r="D110" s="46">
        <v>34</v>
      </c>
      <c r="E110" s="7" t="s">
        <v>372</v>
      </c>
      <c r="F110" s="7" t="s">
        <v>373</v>
      </c>
      <c r="G110" s="7" t="s">
        <v>44</v>
      </c>
      <c r="H110" s="5" t="s">
        <v>20</v>
      </c>
      <c r="I110" s="46" t="s">
        <v>49</v>
      </c>
      <c r="J110" s="46" t="s">
        <v>61</v>
      </c>
      <c r="K110" s="46" t="s">
        <v>96</v>
      </c>
      <c r="L110" s="7">
        <v>1</v>
      </c>
      <c r="M110" s="7">
        <v>1599</v>
      </c>
      <c r="N110" s="7" t="s">
        <v>52</v>
      </c>
      <c r="O110" s="16">
        <f>Table1[[#This Row],[PRICE UNIT]]*Table1[[#This Row],[QUANTITY]]</f>
        <v>1599</v>
      </c>
      <c r="P110" s="25"/>
    </row>
    <row r="111" spans="1:16" ht="15.75">
      <c r="A111" s="44">
        <v>110</v>
      </c>
      <c r="B111" s="6">
        <v>210</v>
      </c>
      <c r="C111" s="45" t="s">
        <v>374</v>
      </c>
      <c r="D111" s="46">
        <v>29</v>
      </c>
      <c r="E111" s="7" t="s">
        <v>375</v>
      </c>
      <c r="F111" s="7" t="s">
        <v>376</v>
      </c>
      <c r="G111" s="7" t="s">
        <v>42</v>
      </c>
      <c r="H111" s="5" t="s">
        <v>13</v>
      </c>
      <c r="I111" s="46" t="s">
        <v>48</v>
      </c>
      <c r="J111" s="46" t="s">
        <v>68</v>
      </c>
      <c r="K111" s="46" t="s">
        <v>100</v>
      </c>
      <c r="L111" s="7">
        <v>3</v>
      </c>
      <c r="M111" s="7">
        <v>2999</v>
      </c>
      <c r="N111" s="7" t="s">
        <v>56</v>
      </c>
      <c r="O111" s="16">
        <f>Table1[[#This Row],[PRICE UNIT]]*Table1[[#This Row],[QUANTITY]]</f>
        <v>8997</v>
      </c>
      <c r="P111" s="25"/>
    </row>
    <row r="112" spans="1:16" ht="15.75">
      <c r="A112" s="44">
        <v>111</v>
      </c>
      <c r="B112" s="6">
        <v>211</v>
      </c>
      <c r="C112" s="45">
        <v>46176</v>
      </c>
      <c r="D112" s="46">
        <v>41</v>
      </c>
      <c r="E112" s="7" t="s">
        <v>377</v>
      </c>
      <c r="F112" s="7" t="s">
        <v>378</v>
      </c>
      <c r="G112" s="7" t="s">
        <v>30</v>
      </c>
      <c r="H112" s="5" t="s">
        <v>16</v>
      </c>
      <c r="I112" s="46" t="s">
        <v>49</v>
      </c>
      <c r="J112" s="46" t="s">
        <v>62</v>
      </c>
      <c r="K112" s="46" t="s">
        <v>136</v>
      </c>
      <c r="L112" s="7">
        <v>1</v>
      </c>
      <c r="M112" s="7">
        <v>899</v>
      </c>
      <c r="N112" s="7" t="s">
        <v>55</v>
      </c>
      <c r="O112" s="16">
        <f>Table1[[#This Row],[PRICE UNIT]]*Table1[[#This Row],[QUANTITY]]</f>
        <v>899</v>
      </c>
      <c r="P112" s="25"/>
    </row>
    <row r="113" spans="1:16" ht="15.75">
      <c r="A113" s="44">
        <v>112</v>
      </c>
      <c r="B113" s="6">
        <v>212</v>
      </c>
      <c r="C113" s="45" t="s">
        <v>379</v>
      </c>
      <c r="D113" s="46">
        <v>22</v>
      </c>
      <c r="E113" s="7" t="s">
        <v>380</v>
      </c>
      <c r="F113" s="7" t="s">
        <v>381</v>
      </c>
      <c r="G113" s="7" t="s">
        <v>38</v>
      </c>
      <c r="H113" s="5" t="s">
        <v>24</v>
      </c>
      <c r="I113" s="46" t="s">
        <v>48</v>
      </c>
      <c r="J113" s="46" t="s">
        <v>61</v>
      </c>
      <c r="K113" s="46" t="s">
        <v>146</v>
      </c>
      <c r="L113" s="7">
        <v>2</v>
      </c>
      <c r="M113" s="7">
        <v>1999</v>
      </c>
      <c r="N113" s="7" t="s">
        <v>54</v>
      </c>
      <c r="O113" s="16">
        <f>Table1[[#This Row],[PRICE UNIT]]*Table1[[#This Row],[QUANTITY]]</f>
        <v>3998</v>
      </c>
      <c r="P113" s="25"/>
    </row>
    <row r="114" spans="1:16" ht="15.75">
      <c r="A114" s="44">
        <v>113</v>
      </c>
      <c r="B114" s="6">
        <v>213</v>
      </c>
      <c r="C114" s="45" t="s">
        <v>382</v>
      </c>
      <c r="D114" s="46">
        <v>38</v>
      </c>
      <c r="E114" s="7" t="s">
        <v>383</v>
      </c>
      <c r="F114" s="7" t="s">
        <v>187</v>
      </c>
      <c r="G114" s="7" t="s">
        <v>32</v>
      </c>
      <c r="H114" s="5" t="s">
        <v>22</v>
      </c>
      <c r="I114" s="46" t="s">
        <v>49</v>
      </c>
      <c r="J114" s="46" t="s">
        <v>71</v>
      </c>
      <c r="K114" s="46" t="s">
        <v>107</v>
      </c>
      <c r="L114" s="7">
        <v>1</v>
      </c>
      <c r="M114" s="7">
        <v>1299</v>
      </c>
      <c r="N114" s="7" t="s">
        <v>57</v>
      </c>
      <c r="O114" s="16">
        <f>Table1[[#This Row],[PRICE UNIT]]*Table1[[#This Row],[QUANTITY]]</f>
        <v>1299</v>
      </c>
      <c r="P114" s="25"/>
    </row>
    <row r="115" spans="1:16" ht="15.75">
      <c r="A115" s="44">
        <v>114</v>
      </c>
      <c r="B115" s="6">
        <v>214</v>
      </c>
      <c r="C115" s="45" t="s">
        <v>384</v>
      </c>
      <c r="D115" s="46">
        <v>31</v>
      </c>
      <c r="E115" s="7" t="s">
        <v>385</v>
      </c>
      <c r="F115" s="7" t="s">
        <v>75</v>
      </c>
      <c r="G115" s="7" t="s">
        <v>34</v>
      </c>
      <c r="H115" s="5" t="s">
        <v>10</v>
      </c>
      <c r="I115" s="46" t="s">
        <v>48</v>
      </c>
      <c r="J115" s="46" t="s">
        <v>65</v>
      </c>
      <c r="K115" s="46" t="s">
        <v>124</v>
      </c>
      <c r="L115" s="7">
        <v>3</v>
      </c>
      <c r="M115" s="7">
        <v>3499</v>
      </c>
      <c r="N115" s="7" t="s">
        <v>53</v>
      </c>
      <c r="O115" s="16">
        <f>Table1[[#This Row],[PRICE UNIT]]*Table1[[#This Row],[QUANTITY]]</f>
        <v>10497</v>
      </c>
      <c r="P115" s="25"/>
    </row>
    <row r="116" spans="1:16" ht="15.75">
      <c r="A116" s="44">
        <v>115</v>
      </c>
      <c r="B116" s="6">
        <v>215</v>
      </c>
      <c r="C116" s="45">
        <v>46055</v>
      </c>
      <c r="D116" s="46">
        <v>26</v>
      </c>
      <c r="E116" s="7" t="s">
        <v>386</v>
      </c>
      <c r="F116" s="7" t="s">
        <v>387</v>
      </c>
      <c r="G116" s="7" t="s">
        <v>36</v>
      </c>
      <c r="H116" s="5" t="s">
        <v>25</v>
      </c>
      <c r="I116" s="46" t="s">
        <v>49</v>
      </c>
      <c r="J116" s="46" t="s">
        <v>62</v>
      </c>
      <c r="K116" s="46" t="s">
        <v>110</v>
      </c>
      <c r="L116" s="7">
        <v>2</v>
      </c>
      <c r="M116" s="7">
        <v>799</v>
      </c>
      <c r="N116" s="7" t="s">
        <v>56</v>
      </c>
      <c r="O116" s="16">
        <f>Table1[[#This Row],[PRICE UNIT]]*Table1[[#This Row],[QUANTITY]]</f>
        <v>1598</v>
      </c>
      <c r="P116" s="25"/>
    </row>
    <row r="117" spans="1:16" ht="15.75">
      <c r="A117" s="44">
        <v>116</v>
      </c>
      <c r="B117" s="6">
        <v>216</v>
      </c>
      <c r="C117" s="45" t="s">
        <v>388</v>
      </c>
      <c r="D117" s="46">
        <v>35</v>
      </c>
      <c r="E117" s="7" t="s">
        <v>389</v>
      </c>
      <c r="F117" s="7" t="s">
        <v>390</v>
      </c>
      <c r="G117" s="7" t="s">
        <v>40</v>
      </c>
      <c r="H117" s="5" t="s">
        <v>28</v>
      </c>
      <c r="I117" s="46" t="s">
        <v>48</v>
      </c>
      <c r="J117" s="46" t="s">
        <v>68</v>
      </c>
      <c r="K117" s="46" t="s">
        <v>120</v>
      </c>
      <c r="L117" s="7">
        <v>1</v>
      </c>
      <c r="M117" s="7">
        <v>2199</v>
      </c>
      <c r="N117" s="7" t="s">
        <v>52</v>
      </c>
      <c r="O117" s="16">
        <f>Table1[[#This Row],[PRICE UNIT]]*Table1[[#This Row],[QUANTITY]]</f>
        <v>2199</v>
      </c>
      <c r="P117" s="25"/>
    </row>
    <row r="118" spans="1:16" ht="15.75">
      <c r="A118" s="44">
        <v>117</v>
      </c>
      <c r="B118" s="6">
        <v>217</v>
      </c>
      <c r="C118" s="45">
        <v>46026</v>
      </c>
      <c r="D118" s="46">
        <v>20</v>
      </c>
      <c r="E118" s="7" t="s">
        <v>391</v>
      </c>
      <c r="F118" s="7" t="s">
        <v>392</v>
      </c>
      <c r="G118" s="7" t="s">
        <v>8</v>
      </c>
      <c r="H118" s="5" t="s">
        <v>11</v>
      </c>
      <c r="I118" s="46" t="s">
        <v>49</v>
      </c>
      <c r="J118" s="46" t="s">
        <v>61</v>
      </c>
      <c r="K118" s="46" t="s">
        <v>152</v>
      </c>
      <c r="L118" s="7">
        <v>2</v>
      </c>
      <c r="M118" s="7">
        <v>1399</v>
      </c>
      <c r="N118" s="7" t="s">
        <v>54</v>
      </c>
      <c r="O118" s="16">
        <f>Table1[[#This Row],[PRICE UNIT]]*Table1[[#This Row],[QUANTITY]]</f>
        <v>2798</v>
      </c>
      <c r="P118" s="25"/>
    </row>
    <row r="119" spans="1:16" ht="15.75">
      <c r="A119" s="44">
        <v>118</v>
      </c>
      <c r="B119" s="6">
        <v>218</v>
      </c>
      <c r="C119" s="45" t="s">
        <v>393</v>
      </c>
      <c r="D119" s="46">
        <v>43</v>
      </c>
      <c r="E119" s="7" t="s">
        <v>394</v>
      </c>
      <c r="F119" s="7" t="s">
        <v>395</v>
      </c>
      <c r="G119" s="7" t="s">
        <v>44</v>
      </c>
      <c r="H119" s="5" t="s">
        <v>17</v>
      </c>
      <c r="I119" s="46" t="s">
        <v>48</v>
      </c>
      <c r="J119" s="46" t="s">
        <v>62</v>
      </c>
      <c r="K119" s="46" t="s">
        <v>155</v>
      </c>
      <c r="L119" s="7">
        <v>1</v>
      </c>
      <c r="M119" s="7">
        <v>2799</v>
      </c>
      <c r="N119" s="7" t="s">
        <v>56</v>
      </c>
      <c r="O119" s="16">
        <f>Table1[[#This Row],[PRICE UNIT]]*Table1[[#This Row],[QUANTITY]]</f>
        <v>2799</v>
      </c>
      <c r="P119" s="25"/>
    </row>
    <row r="120" spans="1:16" ht="15.75">
      <c r="A120" s="44">
        <v>119</v>
      </c>
      <c r="B120" s="6">
        <v>219</v>
      </c>
      <c r="C120" s="45" t="s">
        <v>396</v>
      </c>
      <c r="D120" s="46">
        <v>28</v>
      </c>
      <c r="E120" s="7" t="s">
        <v>397</v>
      </c>
      <c r="F120" s="7" t="s">
        <v>398</v>
      </c>
      <c r="G120" s="7" t="s">
        <v>30</v>
      </c>
      <c r="H120" s="5" t="s">
        <v>14</v>
      </c>
      <c r="I120" s="46" t="s">
        <v>49</v>
      </c>
      <c r="J120" s="46" t="s">
        <v>65</v>
      </c>
      <c r="K120" s="46" t="s">
        <v>96</v>
      </c>
      <c r="L120" s="7">
        <v>4</v>
      </c>
      <c r="M120" s="7">
        <v>999</v>
      </c>
      <c r="N120" s="7" t="s">
        <v>53</v>
      </c>
      <c r="O120" s="16">
        <f>Table1[[#This Row],[PRICE UNIT]]*Table1[[#This Row],[QUANTITY]]</f>
        <v>3996</v>
      </c>
      <c r="P120" s="25"/>
    </row>
    <row r="121" spans="1:16" ht="15.75">
      <c r="A121" s="44">
        <v>120</v>
      </c>
      <c r="B121" s="6">
        <v>220</v>
      </c>
      <c r="C121" s="45" t="s">
        <v>399</v>
      </c>
      <c r="D121" s="46">
        <v>32</v>
      </c>
      <c r="E121" s="7" t="s">
        <v>400</v>
      </c>
      <c r="F121" s="7" t="s">
        <v>401</v>
      </c>
      <c r="G121" s="7" t="s">
        <v>42</v>
      </c>
      <c r="H121" s="5" t="s">
        <v>19</v>
      </c>
      <c r="I121" s="46" t="s">
        <v>48</v>
      </c>
      <c r="J121" s="46" t="s">
        <v>71</v>
      </c>
      <c r="K121" s="46" t="s">
        <v>104</v>
      </c>
      <c r="L121" s="7">
        <v>1</v>
      </c>
      <c r="M121" s="7">
        <v>1899</v>
      </c>
      <c r="N121" s="7" t="s">
        <v>55</v>
      </c>
      <c r="O121" s="16">
        <f>Table1[[#This Row],[PRICE UNIT]]*Table1[[#This Row],[QUANTITY]]</f>
        <v>1899</v>
      </c>
      <c r="P121" s="25"/>
    </row>
    <row r="122" spans="1:16" ht="15.75">
      <c r="A122" s="44">
        <v>121</v>
      </c>
      <c r="B122" s="6">
        <v>221</v>
      </c>
      <c r="C122" s="45" t="s">
        <v>402</v>
      </c>
      <c r="D122" s="46">
        <v>23</v>
      </c>
      <c r="E122" s="7" t="s">
        <v>403</v>
      </c>
      <c r="F122" s="7" t="s">
        <v>404</v>
      </c>
      <c r="G122" s="7" t="s">
        <v>32</v>
      </c>
      <c r="H122" s="5" t="s">
        <v>26</v>
      </c>
      <c r="I122" s="46" t="s">
        <v>49</v>
      </c>
      <c r="J122" s="46" t="s">
        <v>68</v>
      </c>
      <c r="K122" s="46" t="s">
        <v>100</v>
      </c>
      <c r="L122" s="7">
        <v>2</v>
      </c>
      <c r="M122" s="7">
        <v>699</v>
      </c>
      <c r="N122" s="7" t="s">
        <v>57</v>
      </c>
      <c r="O122" s="16">
        <f>Table1[[#This Row],[PRICE UNIT]]*Table1[[#This Row],[QUANTITY]]</f>
        <v>1398</v>
      </c>
      <c r="P122" s="25"/>
    </row>
    <row r="123" spans="1:16" ht="15.75">
      <c r="A123" s="44">
        <v>122</v>
      </c>
      <c r="B123" s="6">
        <v>222</v>
      </c>
      <c r="C123" s="45">
        <v>46210</v>
      </c>
      <c r="D123" s="46">
        <v>39</v>
      </c>
      <c r="E123" s="7" t="s">
        <v>405</v>
      </c>
      <c r="F123" s="7" t="s">
        <v>99</v>
      </c>
      <c r="G123" s="7" t="s">
        <v>38</v>
      </c>
      <c r="H123" s="5" t="s">
        <v>15</v>
      </c>
      <c r="I123" s="46" t="s">
        <v>48</v>
      </c>
      <c r="J123" s="46" t="s">
        <v>61</v>
      </c>
      <c r="K123" s="46" t="s">
        <v>116</v>
      </c>
      <c r="L123" s="7">
        <v>3</v>
      </c>
      <c r="M123" s="7">
        <v>2499</v>
      </c>
      <c r="N123" s="7" t="s">
        <v>56</v>
      </c>
      <c r="O123" s="16">
        <f>Table1[[#This Row],[PRICE UNIT]]*Table1[[#This Row],[QUANTITY]]</f>
        <v>7497</v>
      </c>
      <c r="P123" s="25"/>
    </row>
    <row r="124" spans="1:16" ht="15.75">
      <c r="A124" s="44">
        <v>123</v>
      </c>
      <c r="B124" s="6">
        <v>223</v>
      </c>
      <c r="C124" s="45" t="s">
        <v>406</v>
      </c>
      <c r="D124" s="46">
        <v>27</v>
      </c>
      <c r="E124" s="7" t="s">
        <v>407</v>
      </c>
      <c r="F124" s="7" t="s">
        <v>119</v>
      </c>
      <c r="G124" s="7" t="s">
        <v>34</v>
      </c>
      <c r="H124" s="5" t="s">
        <v>23</v>
      </c>
      <c r="I124" s="46" t="s">
        <v>49</v>
      </c>
      <c r="J124" s="46" t="s">
        <v>62</v>
      </c>
      <c r="K124" s="46" t="s">
        <v>107</v>
      </c>
      <c r="L124" s="7">
        <v>1</v>
      </c>
      <c r="M124" s="7">
        <v>1199</v>
      </c>
      <c r="N124" s="7" t="s">
        <v>52</v>
      </c>
      <c r="O124" s="16">
        <f>Table1[[#This Row],[PRICE UNIT]]*Table1[[#This Row],[QUANTITY]]</f>
        <v>1199</v>
      </c>
      <c r="P124" s="25"/>
    </row>
    <row r="125" spans="1:16" ht="15.75">
      <c r="A125" s="44">
        <v>124</v>
      </c>
      <c r="B125" s="6">
        <v>224</v>
      </c>
      <c r="C125" s="45">
        <v>46124</v>
      </c>
      <c r="D125" s="46">
        <v>44</v>
      </c>
      <c r="E125" s="7" t="s">
        <v>408</v>
      </c>
      <c r="F125" s="7" t="s">
        <v>132</v>
      </c>
      <c r="G125" s="7" t="s">
        <v>40</v>
      </c>
      <c r="H125" s="5" t="s">
        <v>21</v>
      </c>
      <c r="I125" s="46" t="s">
        <v>48</v>
      </c>
      <c r="J125" s="46" t="s">
        <v>65</v>
      </c>
      <c r="K125" s="46" t="s">
        <v>139</v>
      </c>
      <c r="L125" s="7">
        <v>2</v>
      </c>
      <c r="M125" s="7">
        <v>2299</v>
      </c>
      <c r="N125" s="7" t="s">
        <v>54</v>
      </c>
      <c r="O125" s="16">
        <f>Table1[[#This Row],[PRICE UNIT]]*Table1[[#This Row],[QUANTITY]]</f>
        <v>4598</v>
      </c>
      <c r="P125" s="25"/>
    </row>
    <row r="126" spans="1:16" ht="15.75">
      <c r="A126" s="44">
        <v>125</v>
      </c>
      <c r="B126" s="6">
        <v>225</v>
      </c>
      <c r="C126" s="45" t="s">
        <v>409</v>
      </c>
      <c r="D126" s="46">
        <v>30</v>
      </c>
      <c r="E126" s="7" t="s">
        <v>410</v>
      </c>
      <c r="F126" s="7" t="s">
        <v>176</v>
      </c>
      <c r="G126" s="7" t="s">
        <v>36</v>
      </c>
      <c r="H126" s="5" t="s">
        <v>12</v>
      </c>
      <c r="I126" s="46" t="s">
        <v>49</v>
      </c>
      <c r="J126" s="46" t="s">
        <v>68</v>
      </c>
      <c r="K126" s="46" t="s">
        <v>113</v>
      </c>
      <c r="L126" s="7">
        <v>1</v>
      </c>
      <c r="M126" s="7">
        <v>1599</v>
      </c>
      <c r="N126" s="7" t="s">
        <v>53</v>
      </c>
      <c r="O126" s="16">
        <f>Table1[[#This Row],[PRICE UNIT]]*Table1[[#This Row],[QUANTITY]]</f>
        <v>1599</v>
      </c>
      <c r="P126" s="25"/>
    </row>
    <row r="127" spans="1:16" ht="15.75">
      <c r="A127" s="44">
        <v>126</v>
      </c>
      <c r="B127" s="6">
        <v>226</v>
      </c>
      <c r="C127" s="45">
        <v>46335</v>
      </c>
      <c r="D127" s="46">
        <v>21</v>
      </c>
      <c r="E127" s="7" t="s">
        <v>411</v>
      </c>
      <c r="F127" s="7" t="s">
        <v>412</v>
      </c>
      <c r="G127" s="7" t="s">
        <v>8</v>
      </c>
      <c r="H127" s="5" t="s">
        <v>18</v>
      </c>
      <c r="I127" s="46" t="s">
        <v>48</v>
      </c>
      <c r="J127" s="46" t="s">
        <v>61</v>
      </c>
      <c r="K127" s="46" t="s">
        <v>110</v>
      </c>
      <c r="L127" s="7">
        <v>3</v>
      </c>
      <c r="M127" s="7">
        <v>2999</v>
      </c>
      <c r="N127" s="7" t="s">
        <v>56</v>
      </c>
      <c r="O127" s="16">
        <f>Table1[[#This Row],[PRICE UNIT]]*Table1[[#This Row],[QUANTITY]]</f>
        <v>8997</v>
      </c>
      <c r="P127" s="25"/>
    </row>
    <row r="128" spans="1:16" ht="15.75">
      <c r="A128" s="44">
        <v>127</v>
      </c>
      <c r="B128" s="6">
        <v>227</v>
      </c>
      <c r="C128" s="45" t="s">
        <v>413</v>
      </c>
      <c r="D128" s="46">
        <v>36</v>
      </c>
      <c r="E128" s="7" t="s">
        <v>414</v>
      </c>
      <c r="F128" s="7" t="s">
        <v>415</v>
      </c>
      <c r="G128" s="7" t="s">
        <v>44</v>
      </c>
      <c r="H128" s="5" t="s">
        <v>27</v>
      </c>
      <c r="I128" s="46" t="s">
        <v>49</v>
      </c>
      <c r="J128" s="46" t="s">
        <v>71</v>
      </c>
      <c r="K128" s="46" t="s">
        <v>128</v>
      </c>
      <c r="L128" s="7">
        <v>2</v>
      </c>
      <c r="M128" s="7">
        <v>899</v>
      </c>
      <c r="N128" s="7" t="s">
        <v>55</v>
      </c>
      <c r="O128" s="16">
        <f>Table1[[#This Row],[PRICE UNIT]]*Table1[[#This Row],[QUANTITY]]</f>
        <v>1798</v>
      </c>
      <c r="P128" s="25"/>
    </row>
    <row r="129" spans="1:16" ht="15.75">
      <c r="A129" s="44">
        <v>128</v>
      </c>
      <c r="B129" s="6">
        <v>228</v>
      </c>
      <c r="C129" s="45">
        <v>46064</v>
      </c>
      <c r="D129" s="46">
        <v>25</v>
      </c>
      <c r="E129" s="7" t="s">
        <v>416</v>
      </c>
      <c r="F129" s="7" t="s">
        <v>417</v>
      </c>
      <c r="G129" s="7" t="s">
        <v>42</v>
      </c>
      <c r="H129" s="5" t="s">
        <v>9</v>
      </c>
      <c r="I129" s="46" t="s">
        <v>48</v>
      </c>
      <c r="J129" s="46" t="s">
        <v>62</v>
      </c>
      <c r="K129" s="46" t="s">
        <v>120</v>
      </c>
      <c r="L129" s="7">
        <v>1</v>
      </c>
      <c r="M129" s="7">
        <v>1999</v>
      </c>
      <c r="N129" s="7" t="s">
        <v>57</v>
      </c>
      <c r="O129" s="16">
        <f>Table1[[#This Row],[PRICE UNIT]]*Table1[[#This Row],[QUANTITY]]</f>
        <v>1999</v>
      </c>
      <c r="P129" s="25"/>
    </row>
    <row r="130" spans="1:16" ht="15.75">
      <c r="A130" s="44">
        <v>129</v>
      </c>
      <c r="B130" s="6">
        <v>229</v>
      </c>
      <c r="C130" s="45" t="s">
        <v>418</v>
      </c>
      <c r="D130" s="46">
        <v>40</v>
      </c>
      <c r="E130" s="7" t="s">
        <v>419</v>
      </c>
      <c r="F130" s="7" t="s">
        <v>420</v>
      </c>
      <c r="G130" s="7" t="s">
        <v>30</v>
      </c>
      <c r="H130" s="5" t="s">
        <v>20</v>
      </c>
      <c r="I130" s="46" t="s">
        <v>49</v>
      </c>
      <c r="J130" s="46" t="s">
        <v>65</v>
      </c>
      <c r="K130" s="46" t="s">
        <v>96</v>
      </c>
      <c r="L130" s="7">
        <v>2</v>
      </c>
      <c r="M130" s="7">
        <v>1299</v>
      </c>
      <c r="N130" s="7" t="s">
        <v>56</v>
      </c>
      <c r="O130" s="16">
        <f>Table1[[#This Row],[PRICE UNIT]]*Table1[[#This Row],[QUANTITY]]</f>
        <v>2598</v>
      </c>
      <c r="P130" s="25"/>
    </row>
    <row r="131" spans="1:16" ht="15.75">
      <c r="A131" s="44">
        <v>130</v>
      </c>
      <c r="B131" s="6">
        <v>230</v>
      </c>
      <c r="C131" s="45" t="s">
        <v>421</v>
      </c>
      <c r="D131" s="46">
        <v>29</v>
      </c>
      <c r="E131" s="7" t="s">
        <v>422</v>
      </c>
      <c r="F131" s="7" t="s">
        <v>423</v>
      </c>
      <c r="G131" s="7" t="s">
        <v>32</v>
      </c>
      <c r="H131" s="5" t="s">
        <v>13</v>
      </c>
      <c r="I131" s="46" t="s">
        <v>48</v>
      </c>
      <c r="J131" s="46" t="s">
        <v>61</v>
      </c>
      <c r="K131" s="46" t="s">
        <v>100</v>
      </c>
      <c r="L131" s="7">
        <v>1</v>
      </c>
      <c r="M131" s="7">
        <v>3499</v>
      </c>
      <c r="N131" s="7" t="s">
        <v>54</v>
      </c>
      <c r="O131" s="16">
        <f>Table1[[#This Row],[PRICE UNIT]]*Table1[[#This Row],[QUANTITY]]</f>
        <v>3499</v>
      </c>
      <c r="P131" s="25"/>
    </row>
    <row r="132" spans="1:16" ht="15.75">
      <c r="A132" s="44">
        <v>131</v>
      </c>
      <c r="B132" s="6">
        <v>231</v>
      </c>
      <c r="C132" s="45">
        <v>46179</v>
      </c>
      <c r="D132" s="46">
        <v>33</v>
      </c>
      <c r="E132" s="7" t="s">
        <v>424</v>
      </c>
      <c r="F132" s="7" t="s">
        <v>425</v>
      </c>
      <c r="G132" s="7" t="s">
        <v>38</v>
      </c>
      <c r="H132" s="5" t="s">
        <v>16</v>
      </c>
      <c r="I132" s="46" t="s">
        <v>49</v>
      </c>
      <c r="J132" s="46" t="s">
        <v>68</v>
      </c>
      <c r="K132" s="46" t="s">
        <v>104</v>
      </c>
      <c r="L132" s="7">
        <v>4</v>
      </c>
      <c r="M132" s="7">
        <v>799</v>
      </c>
      <c r="N132" s="7" t="s">
        <v>52</v>
      </c>
      <c r="O132" s="16">
        <f>Table1[[#This Row],[PRICE UNIT]]*Table1[[#This Row],[QUANTITY]]</f>
        <v>3196</v>
      </c>
      <c r="P132" s="25"/>
    </row>
    <row r="133" spans="1:16" ht="15.75">
      <c r="A133" s="44">
        <v>132</v>
      </c>
      <c r="B133" s="6">
        <v>232</v>
      </c>
      <c r="C133" s="45">
        <v>46275</v>
      </c>
      <c r="D133" s="46">
        <v>19</v>
      </c>
      <c r="E133" s="7" t="s">
        <v>426</v>
      </c>
      <c r="F133" s="7" t="s">
        <v>115</v>
      </c>
      <c r="G133" s="7" t="s">
        <v>36</v>
      </c>
      <c r="H133" s="5" t="s">
        <v>24</v>
      </c>
      <c r="I133" s="46" t="s">
        <v>48</v>
      </c>
      <c r="J133" s="46" t="s">
        <v>62</v>
      </c>
      <c r="K133" s="46" t="s">
        <v>146</v>
      </c>
      <c r="L133" s="7">
        <v>2</v>
      </c>
      <c r="M133" s="7">
        <v>2399</v>
      </c>
      <c r="N133" s="7" t="s">
        <v>53</v>
      </c>
      <c r="O133" s="16">
        <f>Table1[[#This Row],[PRICE UNIT]]*Table1[[#This Row],[QUANTITY]]</f>
        <v>4798</v>
      </c>
      <c r="P133" s="25"/>
    </row>
    <row r="134" spans="1:16" ht="15.75">
      <c r="A134" s="44">
        <v>133</v>
      </c>
      <c r="B134" s="6">
        <v>233</v>
      </c>
      <c r="C134" s="45">
        <v>46143</v>
      </c>
      <c r="D134" s="46">
        <v>37</v>
      </c>
      <c r="E134" s="7" t="s">
        <v>427</v>
      </c>
      <c r="F134" s="7" t="s">
        <v>428</v>
      </c>
      <c r="G134" s="7" t="s">
        <v>34</v>
      </c>
      <c r="H134" s="5" t="s">
        <v>22</v>
      </c>
      <c r="I134" s="46" t="s">
        <v>49</v>
      </c>
      <c r="J134" s="46" t="s">
        <v>61</v>
      </c>
      <c r="K134" s="46" t="s">
        <v>116</v>
      </c>
      <c r="L134" s="7">
        <v>1</v>
      </c>
      <c r="M134" s="7">
        <v>1499</v>
      </c>
      <c r="N134" s="7" t="s">
        <v>56</v>
      </c>
      <c r="O134" s="16">
        <f>Table1[[#This Row],[PRICE UNIT]]*Table1[[#This Row],[QUANTITY]]</f>
        <v>1499</v>
      </c>
      <c r="P134" s="25"/>
    </row>
    <row r="135" spans="1:16" ht="15.75">
      <c r="A135" s="44">
        <v>134</v>
      </c>
      <c r="B135" s="6">
        <v>234</v>
      </c>
      <c r="C135" s="45" t="s">
        <v>429</v>
      </c>
      <c r="D135" s="46">
        <v>24</v>
      </c>
      <c r="E135" s="7" t="s">
        <v>430</v>
      </c>
      <c r="F135" s="7" t="s">
        <v>431</v>
      </c>
      <c r="G135" s="7" t="s">
        <v>40</v>
      </c>
      <c r="H135" s="5" t="s">
        <v>10</v>
      </c>
      <c r="I135" s="46" t="s">
        <v>48</v>
      </c>
      <c r="J135" s="46" t="s">
        <v>65</v>
      </c>
      <c r="K135" s="46" t="s">
        <v>107</v>
      </c>
      <c r="L135" s="7">
        <v>3</v>
      </c>
      <c r="M135" s="7">
        <v>2799</v>
      </c>
      <c r="N135" s="7" t="s">
        <v>55</v>
      </c>
      <c r="O135" s="16">
        <f>Table1[[#This Row],[PRICE UNIT]]*Table1[[#This Row],[QUANTITY]]</f>
        <v>8397</v>
      </c>
      <c r="P135" s="25"/>
    </row>
    <row r="136" spans="1:16" ht="15.75">
      <c r="A136" s="44">
        <v>135</v>
      </c>
      <c r="B136" s="6">
        <v>235</v>
      </c>
      <c r="C136" s="45">
        <v>46329</v>
      </c>
      <c r="D136" s="46">
        <v>42</v>
      </c>
      <c r="E136" s="7" t="s">
        <v>432</v>
      </c>
      <c r="F136" s="7" t="s">
        <v>433</v>
      </c>
      <c r="G136" s="7" t="s">
        <v>8</v>
      </c>
      <c r="H136" s="5" t="s">
        <v>25</v>
      </c>
      <c r="I136" s="46" t="s">
        <v>49</v>
      </c>
      <c r="J136" s="46" t="s">
        <v>71</v>
      </c>
      <c r="K136" s="46" t="s">
        <v>124</v>
      </c>
      <c r="L136" s="7">
        <v>1</v>
      </c>
      <c r="M136" s="7">
        <v>999</v>
      </c>
      <c r="N136" s="7" t="s">
        <v>54</v>
      </c>
      <c r="O136" s="16">
        <f>Table1[[#This Row],[PRICE UNIT]]*Table1[[#This Row],[QUANTITY]]</f>
        <v>999</v>
      </c>
      <c r="P136" s="25"/>
    </row>
    <row r="137" spans="1:16" ht="15.75">
      <c r="A137" s="44">
        <v>136</v>
      </c>
      <c r="B137" s="6">
        <v>236</v>
      </c>
      <c r="C137" s="45" t="s">
        <v>434</v>
      </c>
      <c r="D137" s="46">
        <v>31</v>
      </c>
      <c r="E137" s="7" t="s">
        <v>435</v>
      </c>
      <c r="F137" s="7" t="s">
        <v>436</v>
      </c>
      <c r="G137" s="7" t="s">
        <v>44</v>
      </c>
      <c r="H137" s="5" t="s">
        <v>28</v>
      </c>
      <c r="I137" s="46" t="s">
        <v>48</v>
      </c>
      <c r="J137" s="46" t="s">
        <v>62</v>
      </c>
      <c r="K137" s="46" t="s">
        <v>152</v>
      </c>
      <c r="L137" s="7">
        <v>2</v>
      </c>
      <c r="M137" s="7">
        <v>1899</v>
      </c>
      <c r="N137" s="7" t="s">
        <v>57</v>
      </c>
      <c r="O137" s="16">
        <f>Table1[[#This Row],[PRICE UNIT]]*Table1[[#This Row],[QUANTITY]]</f>
        <v>3798</v>
      </c>
      <c r="P137" s="25"/>
    </row>
    <row r="138" spans="1:16" ht="15.75">
      <c r="A138" s="44">
        <v>137</v>
      </c>
      <c r="B138" s="6">
        <v>237</v>
      </c>
      <c r="C138" s="45">
        <v>46270</v>
      </c>
      <c r="D138" s="46">
        <v>28</v>
      </c>
      <c r="E138" s="7" t="s">
        <v>437</v>
      </c>
      <c r="F138" s="7" t="s">
        <v>438</v>
      </c>
      <c r="G138" s="7" t="s">
        <v>30</v>
      </c>
      <c r="H138" s="5" t="s">
        <v>11</v>
      </c>
      <c r="I138" s="46" t="s">
        <v>49</v>
      </c>
      <c r="J138" s="46" t="s">
        <v>68</v>
      </c>
      <c r="K138" s="46" t="s">
        <v>110</v>
      </c>
      <c r="L138" s="7">
        <v>1</v>
      </c>
      <c r="M138" s="7">
        <v>699</v>
      </c>
      <c r="N138" s="7" t="s">
        <v>56</v>
      </c>
      <c r="O138" s="16">
        <f>Table1[[#This Row],[PRICE UNIT]]*Table1[[#This Row],[QUANTITY]]</f>
        <v>699</v>
      </c>
      <c r="P138" s="25"/>
    </row>
    <row r="139" spans="1:16" ht="15.75">
      <c r="A139" s="44">
        <v>138</v>
      </c>
      <c r="B139" s="6">
        <v>238</v>
      </c>
      <c r="C139" s="45" t="s">
        <v>439</v>
      </c>
      <c r="D139" s="46">
        <v>35</v>
      </c>
      <c r="E139" s="7" t="s">
        <v>440</v>
      </c>
      <c r="F139" s="7" t="s">
        <v>441</v>
      </c>
      <c r="G139" s="7" t="s">
        <v>38</v>
      </c>
      <c r="H139" s="5" t="s">
        <v>17</v>
      </c>
      <c r="I139" s="46" t="s">
        <v>48</v>
      </c>
      <c r="J139" s="46" t="s">
        <v>61</v>
      </c>
      <c r="K139" s="46" t="s">
        <v>96</v>
      </c>
      <c r="L139" s="7">
        <v>3</v>
      </c>
      <c r="M139" s="7">
        <v>2599</v>
      </c>
      <c r="N139" s="7" t="s">
        <v>53</v>
      </c>
      <c r="O139" s="16">
        <f>Table1[[#This Row],[PRICE UNIT]]*Table1[[#This Row],[QUANTITY]]</f>
        <v>7797</v>
      </c>
      <c r="P139" s="25"/>
    </row>
    <row r="140" spans="1:16" ht="15.75">
      <c r="A140" s="44">
        <v>139</v>
      </c>
      <c r="B140" s="6">
        <v>239</v>
      </c>
      <c r="C140" s="45">
        <v>46328</v>
      </c>
      <c r="D140" s="46">
        <v>22</v>
      </c>
      <c r="E140" s="7" t="s">
        <v>442</v>
      </c>
      <c r="F140" s="7" t="s">
        <v>443</v>
      </c>
      <c r="G140" s="7" t="s">
        <v>42</v>
      </c>
      <c r="H140" s="5" t="s">
        <v>14</v>
      </c>
      <c r="I140" s="46" t="s">
        <v>49</v>
      </c>
      <c r="J140" s="46" t="s">
        <v>65</v>
      </c>
      <c r="K140" s="46" t="s">
        <v>100</v>
      </c>
      <c r="L140" s="7">
        <v>2</v>
      </c>
      <c r="M140" s="7">
        <v>1199</v>
      </c>
      <c r="N140" s="7" t="s">
        <v>52</v>
      </c>
      <c r="O140" s="16">
        <f>Table1[[#This Row],[PRICE UNIT]]*Table1[[#This Row],[QUANTITY]]</f>
        <v>2398</v>
      </c>
      <c r="P140" s="25"/>
    </row>
    <row r="141" spans="1:16" ht="15.75">
      <c r="A141" s="44">
        <v>140</v>
      </c>
      <c r="B141" s="6">
        <v>240</v>
      </c>
      <c r="C141" s="45" t="s">
        <v>444</v>
      </c>
      <c r="D141" s="46">
        <v>39</v>
      </c>
      <c r="E141" s="7" t="s">
        <v>445</v>
      </c>
      <c r="F141" s="7" t="s">
        <v>181</v>
      </c>
      <c r="G141" s="7" t="s">
        <v>32</v>
      </c>
      <c r="H141" s="5" t="s">
        <v>19</v>
      </c>
      <c r="I141" s="46" t="s">
        <v>48</v>
      </c>
      <c r="J141" s="46" t="s">
        <v>62</v>
      </c>
      <c r="K141" s="46" t="s">
        <v>136</v>
      </c>
      <c r="L141" s="7">
        <v>1</v>
      </c>
      <c r="M141" s="7">
        <v>2199</v>
      </c>
      <c r="N141" s="7" t="s">
        <v>54</v>
      </c>
      <c r="O141" s="16">
        <f>Table1[[#This Row],[PRICE UNIT]]*Table1[[#This Row],[QUANTITY]]</f>
        <v>2199</v>
      </c>
      <c r="P141" s="25"/>
    </row>
    <row r="142" spans="1:16" ht="15.75">
      <c r="A142" s="44">
        <v>141</v>
      </c>
      <c r="B142" s="6">
        <v>241</v>
      </c>
      <c r="C142" s="45">
        <v>46207</v>
      </c>
      <c r="D142" s="46">
        <v>26</v>
      </c>
      <c r="E142" s="7" t="s">
        <v>446</v>
      </c>
      <c r="F142" s="7" t="s">
        <v>447</v>
      </c>
      <c r="G142" s="7" t="s">
        <v>34</v>
      </c>
      <c r="H142" s="5" t="s">
        <v>26</v>
      </c>
      <c r="I142" s="46" t="s">
        <v>49</v>
      </c>
      <c r="J142" s="46" t="s">
        <v>61</v>
      </c>
      <c r="K142" s="46" t="s">
        <v>120</v>
      </c>
      <c r="L142" s="7">
        <v>2</v>
      </c>
      <c r="M142" s="7">
        <v>1599</v>
      </c>
      <c r="N142" s="7" t="s">
        <v>56</v>
      </c>
      <c r="O142" s="16">
        <f>Table1[[#This Row],[PRICE UNIT]]*Table1[[#This Row],[QUANTITY]]</f>
        <v>3198</v>
      </c>
      <c r="P142" s="25"/>
    </row>
    <row r="143" spans="1:16" ht="15.75">
      <c r="A143" s="44">
        <v>142</v>
      </c>
      <c r="B143" s="6">
        <v>242</v>
      </c>
      <c r="C143" s="45" t="s">
        <v>448</v>
      </c>
      <c r="D143" s="46">
        <v>45</v>
      </c>
      <c r="E143" s="7" t="s">
        <v>449</v>
      </c>
      <c r="F143" s="7" t="s">
        <v>450</v>
      </c>
      <c r="G143" s="7" t="s">
        <v>36</v>
      </c>
      <c r="H143" s="5" t="s">
        <v>15</v>
      </c>
      <c r="I143" s="46" t="s">
        <v>48</v>
      </c>
      <c r="J143" s="46" t="s">
        <v>68</v>
      </c>
      <c r="K143" s="46" t="s">
        <v>139</v>
      </c>
      <c r="L143" s="7">
        <v>1</v>
      </c>
      <c r="M143" s="7">
        <v>2999</v>
      </c>
      <c r="N143" s="7" t="s">
        <v>55</v>
      </c>
      <c r="O143" s="16">
        <f>Table1[[#This Row],[PRICE UNIT]]*Table1[[#This Row],[QUANTITY]]</f>
        <v>2999</v>
      </c>
      <c r="P143" s="25"/>
    </row>
    <row r="144" spans="1:16" ht="15.75">
      <c r="A144" s="44">
        <v>143</v>
      </c>
      <c r="B144" s="6">
        <v>243</v>
      </c>
      <c r="C144" s="45" t="s">
        <v>451</v>
      </c>
      <c r="D144" s="46">
        <v>30</v>
      </c>
      <c r="E144" s="7" t="s">
        <v>452</v>
      </c>
      <c r="F144" s="7" t="s">
        <v>453</v>
      </c>
      <c r="G144" s="7" t="s">
        <v>40</v>
      </c>
      <c r="H144" s="5" t="s">
        <v>23</v>
      </c>
      <c r="I144" s="46" t="s">
        <v>49</v>
      </c>
      <c r="J144" s="46" t="s">
        <v>71</v>
      </c>
      <c r="K144" s="46" t="s">
        <v>107</v>
      </c>
      <c r="L144" s="7">
        <v>4</v>
      </c>
      <c r="M144" s="7">
        <v>899</v>
      </c>
      <c r="N144" s="7" t="s">
        <v>53</v>
      </c>
      <c r="O144" s="16">
        <f>Table1[[#This Row],[PRICE UNIT]]*Table1[[#This Row],[QUANTITY]]</f>
        <v>3596</v>
      </c>
      <c r="P144" s="25"/>
    </row>
    <row r="145" spans="1:16" ht="15.75">
      <c r="A145" s="44">
        <v>144</v>
      </c>
      <c r="B145" s="6">
        <v>244</v>
      </c>
      <c r="C145" s="45">
        <v>46152</v>
      </c>
      <c r="D145" s="46">
        <v>34</v>
      </c>
      <c r="E145" s="7" t="s">
        <v>454</v>
      </c>
      <c r="F145" s="7" t="s">
        <v>455</v>
      </c>
      <c r="G145" s="7" t="s">
        <v>8</v>
      </c>
      <c r="H145" s="5" t="s">
        <v>21</v>
      </c>
      <c r="I145" s="46" t="s">
        <v>48</v>
      </c>
      <c r="J145" s="46" t="s">
        <v>62</v>
      </c>
      <c r="K145" s="46" t="s">
        <v>113</v>
      </c>
      <c r="L145" s="7">
        <v>1</v>
      </c>
      <c r="M145" s="7">
        <v>1999</v>
      </c>
      <c r="N145" s="7" t="s">
        <v>57</v>
      </c>
      <c r="O145" s="16">
        <f>Table1[[#This Row],[PRICE UNIT]]*Table1[[#This Row],[QUANTITY]]</f>
        <v>1999</v>
      </c>
      <c r="P145" s="25"/>
    </row>
    <row r="146" spans="1:16" ht="15.75">
      <c r="A146" s="44">
        <v>145</v>
      </c>
      <c r="B146" s="6">
        <v>245</v>
      </c>
      <c r="C146" s="45" t="s">
        <v>456</v>
      </c>
      <c r="D146" s="46">
        <v>21</v>
      </c>
      <c r="E146" s="7" t="s">
        <v>457</v>
      </c>
      <c r="F146" s="7" t="s">
        <v>458</v>
      </c>
      <c r="G146" s="7" t="s">
        <v>44</v>
      </c>
      <c r="H146" s="5" t="s">
        <v>12</v>
      </c>
      <c r="I146" s="46" t="s">
        <v>49</v>
      </c>
      <c r="J146" s="46" t="s">
        <v>65</v>
      </c>
      <c r="K146" s="46" t="s">
        <v>116</v>
      </c>
      <c r="L146" s="7">
        <v>2</v>
      </c>
      <c r="M146" s="7">
        <v>1299</v>
      </c>
      <c r="N146" s="7" t="s">
        <v>56</v>
      </c>
      <c r="O146" s="16">
        <f>Table1[[#This Row],[PRICE UNIT]]*Table1[[#This Row],[QUANTITY]]</f>
        <v>2598</v>
      </c>
      <c r="P146" s="25"/>
    </row>
    <row r="147" spans="1:16" ht="15.75">
      <c r="A147" s="44">
        <v>146</v>
      </c>
      <c r="B147" s="6">
        <v>246</v>
      </c>
      <c r="C147" s="45" t="s">
        <v>459</v>
      </c>
      <c r="D147" s="46">
        <v>38</v>
      </c>
      <c r="E147" s="7" t="s">
        <v>460</v>
      </c>
      <c r="F147" s="7" t="s">
        <v>77</v>
      </c>
      <c r="G147" s="7" t="s">
        <v>32</v>
      </c>
      <c r="H147" s="5" t="s">
        <v>18</v>
      </c>
      <c r="I147" s="46" t="s">
        <v>48</v>
      </c>
      <c r="J147" s="46" t="s">
        <v>61</v>
      </c>
      <c r="K147" s="46" t="s">
        <v>155</v>
      </c>
      <c r="L147" s="7">
        <v>3</v>
      </c>
      <c r="M147" s="7">
        <v>3499</v>
      </c>
      <c r="N147" s="7" t="s">
        <v>54</v>
      </c>
      <c r="O147" s="16">
        <f>Table1[[#This Row],[PRICE UNIT]]*Table1[[#This Row],[QUANTITY]]</f>
        <v>10497</v>
      </c>
      <c r="P147" s="25"/>
    </row>
    <row r="148" spans="1:16" ht="15.75">
      <c r="A148" s="44">
        <v>147</v>
      </c>
      <c r="B148" s="6">
        <v>247</v>
      </c>
      <c r="C148" s="45" t="s">
        <v>461</v>
      </c>
      <c r="D148" s="46">
        <v>27</v>
      </c>
      <c r="E148" s="7" t="s">
        <v>462</v>
      </c>
      <c r="F148" s="7" t="s">
        <v>463</v>
      </c>
      <c r="G148" s="7" t="s">
        <v>30</v>
      </c>
      <c r="H148" s="5" t="s">
        <v>27</v>
      </c>
      <c r="I148" s="46" t="s">
        <v>49</v>
      </c>
      <c r="J148" s="46" t="s">
        <v>68</v>
      </c>
      <c r="K148" s="46" t="s">
        <v>128</v>
      </c>
      <c r="L148" s="7">
        <v>1</v>
      </c>
      <c r="M148" s="7">
        <v>799</v>
      </c>
      <c r="N148" s="7" t="s">
        <v>52</v>
      </c>
      <c r="O148" s="16">
        <f>Table1[[#This Row],[PRICE UNIT]]*Table1[[#This Row],[QUANTITY]]</f>
        <v>799</v>
      </c>
      <c r="P148" s="25"/>
    </row>
    <row r="149" spans="1:16" ht="15.75">
      <c r="A149" s="44">
        <v>148</v>
      </c>
      <c r="B149" s="6">
        <v>248</v>
      </c>
      <c r="C149" s="45">
        <v>46277</v>
      </c>
      <c r="D149" s="46">
        <v>41</v>
      </c>
      <c r="E149" s="7" t="s">
        <v>464</v>
      </c>
      <c r="F149" s="7" t="s">
        <v>465</v>
      </c>
      <c r="G149" s="7" t="s">
        <v>42</v>
      </c>
      <c r="H149" s="5" t="s">
        <v>9</v>
      </c>
      <c r="I149" s="46" t="s">
        <v>48</v>
      </c>
      <c r="J149" s="46" t="s">
        <v>62</v>
      </c>
      <c r="K149" s="46" t="s">
        <v>96</v>
      </c>
      <c r="L149" s="7">
        <v>2</v>
      </c>
      <c r="M149" s="7">
        <v>2299</v>
      </c>
      <c r="N149" s="7" t="s">
        <v>53</v>
      </c>
      <c r="O149" s="16">
        <f>Table1[[#This Row],[PRICE UNIT]]*Table1[[#This Row],[QUANTITY]]</f>
        <v>4598</v>
      </c>
      <c r="P149" s="25"/>
    </row>
    <row r="150" spans="1:16" ht="15.75">
      <c r="A150" s="44">
        <v>149</v>
      </c>
      <c r="B150" s="6">
        <v>249</v>
      </c>
      <c r="C150" s="45" t="s">
        <v>466</v>
      </c>
      <c r="D150" s="46">
        <v>23</v>
      </c>
      <c r="E150" s="7" t="s">
        <v>467</v>
      </c>
      <c r="F150" s="7" t="s">
        <v>468</v>
      </c>
      <c r="G150" s="7" t="s">
        <v>38</v>
      </c>
      <c r="H150" s="5" t="s">
        <v>20</v>
      </c>
      <c r="I150" s="46" t="s">
        <v>49</v>
      </c>
      <c r="J150" s="46" t="s">
        <v>61</v>
      </c>
      <c r="K150" s="46" t="s">
        <v>104</v>
      </c>
      <c r="L150" s="7">
        <v>1</v>
      </c>
      <c r="M150" s="7">
        <v>1399</v>
      </c>
      <c r="N150" s="7" t="s">
        <v>56</v>
      </c>
      <c r="O150" s="16">
        <f>Table1[[#This Row],[PRICE UNIT]]*Table1[[#This Row],[QUANTITY]]</f>
        <v>1399</v>
      </c>
      <c r="P150" s="25"/>
    </row>
    <row r="151" spans="1:16" ht="15.75">
      <c r="A151" s="44">
        <v>150</v>
      </c>
      <c r="B151" s="6">
        <v>250</v>
      </c>
      <c r="C151" s="45">
        <v>46151</v>
      </c>
      <c r="D151" s="46">
        <v>32</v>
      </c>
      <c r="E151" s="7" t="s">
        <v>469</v>
      </c>
      <c r="F151" s="7" t="s">
        <v>470</v>
      </c>
      <c r="G151" s="7" t="s">
        <v>34</v>
      </c>
      <c r="H151" s="5" t="s">
        <v>13</v>
      </c>
      <c r="I151" s="46" t="s">
        <v>48</v>
      </c>
      <c r="J151" s="46" t="s">
        <v>65</v>
      </c>
      <c r="K151" s="46" t="s">
        <v>100</v>
      </c>
      <c r="L151" s="7">
        <v>3</v>
      </c>
      <c r="M151" s="7">
        <v>2799</v>
      </c>
      <c r="N151" s="7" t="s">
        <v>55</v>
      </c>
      <c r="O151" s="16">
        <f>Table1[[#This Row],[PRICE UNIT]]*Table1[[#This Row],[QUANTITY]]</f>
        <v>8397</v>
      </c>
      <c r="P151" s="25"/>
    </row>
    <row r="152" spans="1:16" ht="15.75">
      <c r="A152" s="44">
        <v>151</v>
      </c>
      <c r="B152" s="6">
        <v>251</v>
      </c>
      <c r="C152" s="45" t="s">
        <v>471</v>
      </c>
      <c r="D152" s="46">
        <v>29</v>
      </c>
      <c r="E152" s="7" t="s">
        <v>134</v>
      </c>
      <c r="F152" s="7" t="s">
        <v>472</v>
      </c>
      <c r="G152" s="7" t="s">
        <v>40</v>
      </c>
      <c r="H152" s="5" t="s">
        <v>16</v>
      </c>
      <c r="I152" s="46" t="s">
        <v>49</v>
      </c>
      <c r="J152" s="46" t="s">
        <v>71</v>
      </c>
      <c r="K152" s="46" t="s">
        <v>110</v>
      </c>
      <c r="L152" s="7">
        <v>2</v>
      </c>
      <c r="M152" s="7">
        <v>999</v>
      </c>
      <c r="N152" s="7" t="s">
        <v>54</v>
      </c>
      <c r="O152" s="16">
        <f>Table1[[#This Row],[PRICE UNIT]]*Table1[[#This Row],[QUANTITY]]</f>
        <v>1998</v>
      </c>
      <c r="P152" s="25"/>
    </row>
    <row r="153" spans="1:16" ht="15.75">
      <c r="A153" s="44">
        <v>152</v>
      </c>
      <c r="B153" s="6">
        <v>252</v>
      </c>
      <c r="C153" s="45">
        <v>46306</v>
      </c>
      <c r="D153" s="46">
        <v>36</v>
      </c>
      <c r="E153" s="7" t="s">
        <v>473</v>
      </c>
      <c r="F153" s="7" t="s">
        <v>70</v>
      </c>
      <c r="G153" s="7" t="s">
        <v>36</v>
      </c>
      <c r="H153" s="5" t="s">
        <v>24</v>
      </c>
      <c r="I153" s="46" t="s">
        <v>48</v>
      </c>
      <c r="J153" s="46" t="s">
        <v>68</v>
      </c>
      <c r="K153" s="46" t="s">
        <v>146</v>
      </c>
      <c r="L153" s="7">
        <v>1</v>
      </c>
      <c r="M153" s="7">
        <v>1899</v>
      </c>
      <c r="N153" s="7" t="s">
        <v>57</v>
      </c>
      <c r="O153" s="16">
        <f>Table1[[#This Row],[PRICE UNIT]]*Table1[[#This Row],[QUANTITY]]</f>
        <v>1899</v>
      </c>
      <c r="P153" s="25"/>
    </row>
    <row r="154" spans="1:16" ht="15.75">
      <c r="A154" s="44">
        <v>153</v>
      </c>
      <c r="B154" s="6">
        <v>253</v>
      </c>
      <c r="C154" s="45" t="s">
        <v>474</v>
      </c>
      <c r="D154" s="46">
        <v>20</v>
      </c>
      <c r="E154" s="7" t="s">
        <v>475</v>
      </c>
      <c r="F154" s="7" t="s">
        <v>163</v>
      </c>
      <c r="G154" s="7" t="s">
        <v>8</v>
      </c>
      <c r="H154" s="5" t="s">
        <v>22</v>
      </c>
      <c r="I154" s="46" t="s">
        <v>49</v>
      </c>
      <c r="J154" s="46" t="s">
        <v>62</v>
      </c>
      <c r="K154" s="46" t="s">
        <v>107</v>
      </c>
      <c r="L154" s="7">
        <v>2</v>
      </c>
      <c r="M154" s="7">
        <v>699</v>
      </c>
      <c r="N154" s="7" t="s">
        <v>56</v>
      </c>
      <c r="O154" s="16">
        <f>Table1[[#This Row],[PRICE UNIT]]*Table1[[#This Row],[QUANTITY]]</f>
        <v>1398</v>
      </c>
      <c r="P154" s="25"/>
    </row>
    <row r="155" spans="1:16" ht="15.75">
      <c r="A155" s="44">
        <v>154</v>
      </c>
      <c r="B155" s="6">
        <v>254</v>
      </c>
      <c r="C155" s="45">
        <v>46150</v>
      </c>
      <c r="D155" s="46">
        <v>44</v>
      </c>
      <c r="E155" s="7" t="s">
        <v>476</v>
      </c>
      <c r="F155" s="7" t="s">
        <v>166</v>
      </c>
      <c r="G155" s="7" t="s">
        <v>44</v>
      </c>
      <c r="H155" s="5" t="s">
        <v>10</v>
      </c>
      <c r="I155" s="46" t="s">
        <v>48</v>
      </c>
      <c r="J155" s="46" t="s">
        <v>61</v>
      </c>
      <c r="K155" s="46" t="s">
        <v>124</v>
      </c>
      <c r="L155" s="7">
        <v>1</v>
      </c>
      <c r="M155" s="7">
        <v>2499</v>
      </c>
      <c r="N155" s="7" t="s">
        <v>53</v>
      </c>
      <c r="O155" s="16">
        <f>Table1[[#This Row],[PRICE UNIT]]*Table1[[#This Row],[QUANTITY]]</f>
        <v>2499</v>
      </c>
      <c r="P155" s="25"/>
    </row>
    <row r="156" spans="1:16" ht="15.75">
      <c r="A156" s="44">
        <v>155</v>
      </c>
      <c r="B156" s="6">
        <v>255</v>
      </c>
      <c r="C156" s="45" t="s">
        <v>477</v>
      </c>
      <c r="D156" s="46">
        <v>25</v>
      </c>
      <c r="E156" s="7" t="s">
        <v>478</v>
      </c>
      <c r="F156" s="7" t="s">
        <v>168</v>
      </c>
      <c r="G156" s="7" t="s">
        <v>30</v>
      </c>
      <c r="H156" s="5" t="s">
        <v>25</v>
      </c>
      <c r="I156" s="46" t="s">
        <v>49</v>
      </c>
      <c r="J156" s="46" t="s">
        <v>65</v>
      </c>
      <c r="K156" s="46" t="s">
        <v>116</v>
      </c>
      <c r="L156" s="7">
        <v>4</v>
      </c>
      <c r="M156" s="7">
        <v>1199</v>
      </c>
      <c r="N156" s="7" t="s">
        <v>52</v>
      </c>
      <c r="O156" s="16">
        <f>Table1[[#This Row],[PRICE UNIT]]*Table1[[#This Row],[QUANTITY]]</f>
        <v>4796</v>
      </c>
      <c r="P156" s="25"/>
    </row>
    <row r="157" spans="1:16" ht="15.75">
      <c r="A157" s="44">
        <v>156</v>
      </c>
      <c r="B157" s="6">
        <v>256</v>
      </c>
      <c r="C157" s="45" t="s">
        <v>479</v>
      </c>
      <c r="D157" s="46">
        <v>33</v>
      </c>
      <c r="E157" s="7" t="s">
        <v>480</v>
      </c>
      <c r="F157" s="7" t="s">
        <v>171</v>
      </c>
      <c r="G157" s="7" t="s">
        <v>42</v>
      </c>
      <c r="H157" s="5" t="s">
        <v>28</v>
      </c>
      <c r="I157" s="46" t="s">
        <v>48</v>
      </c>
      <c r="J157" s="46" t="s">
        <v>62</v>
      </c>
      <c r="K157" s="46" t="s">
        <v>120</v>
      </c>
      <c r="L157" s="7">
        <v>2</v>
      </c>
      <c r="M157" s="7">
        <v>2199</v>
      </c>
      <c r="N157" s="7" t="s">
        <v>56</v>
      </c>
      <c r="O157" s="16">
        <f>Table1[[#This Row],[PRICE UNIT]]*Table1[[#This Row],[QUANTITY]]</f>
        <v>4398</v>
      </c>
      <c r="P157" s="25"/>
    </row>
    <row r="158" spans="1:16" ht="15.75">
      <c r="A158" s="44">
        <v>157</v>
      </c>
      <c r="B158" s="6">
        <v>257</v>
      </c>
      <c r="C158" s="45">
        <v>46266</v>
      </c>
      <c r="D158" s="46">
        <v>28</v>
      </c>
      <c r="E158" s="7" t="s">
        <v>481</v>
      </c>
      <c r="F158" s="7" t="s">
        <v>123</v>
      </c>
      <c r="G158" s="7" t="s">
        <v>32</v>
      </c>
      <c r="H158" s="5" t="s">
        <v>11</v>
      </c>
      <c r="I158" s="46" t="s">
        <v>49</v>
      </c>
      <c r="J158" s="46" t="s">
        <v>68</v>
      </c>
      <c r="K158" s="46" t="s">
        <v>96</v>
      </c>
      <c r="L158" s="7">
        <v>1</v>
      </c>
      <c r="M158" s="7">
        <v>1599</v>
      </c>
      <c r="N158" s="7" t="s">
        <v>54</v>
      </c>
      <c r="O158" s="16">
        <f>Table1[[#This Row],[PRICE UNIT]]*Table1[[#This Row],[QUANTITY]]</f>
        <v>1599</v>
      </c>
      <c r="P158" s="25"/>
    </row>
    <row r="159" spans="1:16" ht="15.75">
      <c r="A159" s="44">
        <v>158</v>
      </c>
      <c r="B159" s="6">
        <v>258</v>
      </c>
      <c r="C159" s="45" t="s">
        <v>482</v>
      </c>
      <c r="D159" s="46">
        <v>40</v>
      </c>
      <c r="E159" s="7" t="s">
        <v>483</v>
      </c>
      <c r="F159" s="7" t="s">
        <v>83</v>
      </c>
      <c r="G159" s="7" t="s">
        <v>38</v>
      </c>
      <c r="H159" s="5" t="s">
        <v>17</v>
      </c>
      <c r="I159" s="46" t="s">
        <v>48</v>
      </c>
      <c r="J159" s="46" t="s">
        <v>61</v>
      </c>
      <c r="K159" s="46" t="s">
        <v>100</v>
      </c>
      <c r="L159" s="7">
        <v>3</v>
      </c>
      <c r="M159" s="7">
        <v>2999</v>
      </c>
      <c r="N159" s="7" t="s">
        <v>55</v>
      </c>
      <c r="O159" s="16">
        <f>Table1[[#This Row],[PRICE UNIT]]*Table1[[#This Row],[QUANTITY]]</f>
        <v>8997</v>
      </c>
      <c r="P159" s="25"/>
    </row>
    <row r="160" spans="1:16" ht="15.75">
      <c r="A160" s="44">
        <v>159</v>
      </c>
      <c r="B160" s="6">
        <v>259</v>
      </c>
      <c r="C160" s="45">
        <v>46115</v>
      </c>
      <c r="D160" s="46">
        <v>22</v>
      </c>
      <c r="E160" s="7" t="s">
        <v>484</v>
      </c>
      <c r="F160" s="7" t="s">
        <v>195</v>
      </c>
      <c r="G160" s="7" t="s">
        <v>36</v>
      </c>
      <c r="H160" s="5" t="s">
        <v>14</v>
      </c>
      <c r="I160" s="46" t="s">
        <v>49</v>
      </c>
      <c r="J160" s="46" t="s">
        <v>71</v>
      </c>
      <c r="K160" s="46" t="s">
        <v>104</v>
      </c>
      <c r="L160" s="7">
        <v>1</v>
      </c>
      <c r="M160" s="7">
        <v>899</v>
      </c>
      <c r="N160" s="7" t="s">
        <v>53</v>
      </c>
      <c r="O160" s="16">
        <f>Table1[[#This Row],[PRICE UNIT]]*Table1[[#This Row],[QUANTITY]]</f>
        <v>899</v>
      </c>
      <c r="P160" s="25"/>
    </row>
    <row r="161" spans="1:16" ht="15.75">
      <c r="A161" s="44">
        <v>160</v>
      </c>
      <c r="B161" s="6">
        <v>260</v>
      </c>
      <c r="C161" s="45" t="s">
        <v>485</v>
      </c>
      <c r="D161" s="46">
        <v>37</v>
      </c>
      <c r="E161" s="7" t="s">
        <v>486</v>
      </c>
      <c r="F161" s="7" t="s">
        <v>73</v>
      </c>
      <c r="G161" s="7" t="s">
        <v>34</v>
      </c>
      <c r="H161" s="5" t="s">
        <v>19</v>
      </c>
      <c r="I161" s="46" t="s">
        <v>48</v>
      </c>
      <c r="J161" s="46" t="s">
        <v>62</v>
      </c>
      <c r="K161" s="46" t="s">
        <v>107</v>
      </c>
      <c r="L161" s="7">
        <v>2</v>
      </c>
      <c r="M161" s="7">
        <v>1999</v>
      </c>
      <c r="N161" s="7" t="s">
        <v>57</v>
      </c>
      <c r="O161" s="16">
        <f>Table1[[#This Row],[PRICE UNIT]]*Table1[[#This Row],[QUANTITY]]</f>
        <v>3998</v>
      </c>
      <c r="P161" s="25"/>
    </row>
    <row r="162" spans="1:16" ht="15.75">
      <c r="A162" s="44">
        <v>161</v>
      </c>
      <c r="B162" s="6">
        <v>261</v>
      </c>
      <c r="C162" s="45" t="s">
        <v>487</v>
      </c>
      <c r="D162" s="46">
        <v>31</v>
      </c>
      <c r="E162" s="7" t="s">
        <v>488</v>
      </c>
      <c r="F162" s="7" t="s">
        <v>64</v>
      </c>
      <c r="G162" s="7" t="s">
        <v>40</v>
      </c>
      <c r="H162" s="5" t="s">
        <v>26</v>
      </c>
      <c r="I162" s="46" t="s">
        <v>49</v>
      </c>
      <c r="J162" s="46" t="s">
        <v>65</v>
      </c>
      <c r="K162" s="46" t="s">
        <v>152</v>
      </c>
      <c r="L162" s="7">
        <v>1</v>
      </c>
      <c r="M162" s="7">
        <v>1299</v>
      </c>
      <c r="N162" s="7" t="s">
        <v>56</v>
      </c>
      <c r="O162" s="16">
        <f>Table1[[#This Row],[PRICE UNIT]]*Table1[[#This Row],[QUANTITY]]</f>
        <v>1299</v>
      </c>
      <c r="P162" s="25"/>
    </row>
    <row r="163" spans="1:16" ht="15.75">
      <c r="A163" s="44">
        <v>162</v>
      </c>
      <c r="B163" s="6">
        <v>262</v>
      </c>
      <c r="C163" s="45" t="s">
        <v>489</v>
      </c>
      <c r="D163" s="46">
        <v>26</v>
      </c>
      <c r="E163" s="7" t="s">
        <v>490</v>
      </c>
      <c r="F163" s="7" t="s">
        <v>60</v>
      </c>
      <c r="G163" s="7" t="s">
        <v>8</v>
      </c>
      <c r="H163" s="5" t="s">
        <v>15</v>
      </c>
      <c r="I163" s="46" t="s">
        <v>48</v>
      </c>
      <c r="J163" s="46" t="s">
        <v>61</v>
      </c>
      <c r="K163" s="46" t="s">
        <v>113</v>
      </c>
      <c r="L163" s="7">
        <v>3</v>
      </c>
      <c r="M163" s="7">
        <v>3499</v>
      </c>
      <c r="N163" s="7" t="s">
        <v>52</v>
      </c>
      <c r="O163" s="16">
        <f>Table1[[#This Row],[PRICE UNIT]]*Table1[[#This Row],[QUANTITY]]</f>
        <v>10497</v>
      </c>
      <c r="P163" s="25"/>
    </row>
    <row r="164" spans="1:16" ht="15.75">
      <c r="A164" s="44">
        <v>163</v>
      </c>
      <c r="B164" s="6">
        <v>263</v>
      </c>
      <c r="C164" s="45">
        <v>46175</v>
      </c>
      <c r="D164" s="46">
        <v>43</v>
      </c>
      <c r="E164" s="7" t="s">
        <v>491</v>
      </c>
      <c r="F164" s="7" t="s">
        <v>492</v>
      </c>
      <c r="G164" s="7" t="s">
        <v>44</v>
      </c>
      <c r="H164" s="5" t="s">
        <v>23</v>
      </c>
      <c r="I164" s="46" t="s">
        <v>49</v>
      </c>
      <c r="J164" s="46" t="s">
        <v>68</v>
      </c>
      <c r="K164" s="46" t="s">
        <v>110</v>
      </c>
      <c r="L164" s="7">
        <v>2</v>
      </c>
      <c r="M164" s="7">
        <v>799</v>
      </c>
      <c r="N164" s="7" t="s">
        <v>54</v>
      </c>
      <c r="O164" s="16">
        <f>Table1[[#This Row],[PRICE UNIT]]*Table1[[#This Row],[QUANTITY]]</f>
        <v>1598</v>
      </c>
      <c r="P164" s="25"/>
    </row>
    <row r="165" spans="1:16" ht="15.75">
      <c r="A165" s="44">
        <v>164</v>
      </c>
      <c r="B165" s="6">
        <v>264</v>
      </c>
      <c r="C165" s="45" t="s">
        <v>493</v>
      </c>
      <c r="D165" s="46">
        <v>24</v>
      </c>
      <c r="E165" s="7" t="s">
        <v>494</v>
      </c>
      <c r="F165" s="7" t="s">
        <v>145</v>
      </c>
      <c r="G165" s="7" t="s">
        <v>42</v>
      </c>
      <c r="H165" s="5" t="s">
        <v>21</v>
      </c>
      <c r="I165" s="46" t="s">
        <v>48</v>
      </c>
      <c r="J165" s="46" t="s">
        <v>62</v>
      </c>
      <c r="K165" s="46" t="s">
        <v>128</v>
      </c>
      <c r="L165" s="7">
        <v>1</v>
      </c>
      <c r="M165" s="7">
        <v>2399</v>
      </c>
      <c r="N165" s="7" t="s">
        <v>53</v>
      </c>
      <c r="O165" s="16">
        <f>Table1[[#This Row],[PRICE UNIT]]*Table1[[#This Row],[QUANTITY]]</f>
        <v>2399</v>
      </c>
      <c r="P165" s="25"/>
    </row>
    <row r="166" spans="1:16" ht="15.75">
      <c r="A166" s="44">
        <v>165</v>
      </c>
      <c r="B166" s="6">
        <v>265</v>
      </c>
      <c r="C166" s="45" t="s">
        <v>495</v>
      </c>
      <c r="D166" s="46">
        <v>35</v>
      </c>
      <c r="E166" s="7" t="s">
        <v>496</v>
      </c>
      <c r="F166" s="7" t="s">
        <v>178</v>
      </c>
      <c r="G166" s="7" t="s">
        <v>30</v>
      </c>
      <c r="H166" s="5" t="s">
        <v>12</v>
      </c>
      <c r="I166" s="46" t="s">
        <v>49</v>
      </c>
      <c r="J166" s="46" t="s">
        <v>61</v>
      </c>
      <c r="K166" s="46" t="s">
        <v>136</v>
      </c>
      <c r="L166" s="7">
        <v>2</v>
      </c>
      <c r="M166" s="7">
        <v>1499</v>
      </c>
      <c r="N166" s="7" t="s">
        <v>56</v>
      </c>
      <c r="O166" s="16">
        <f>Table1[[#This Row],[PRICE UNIT]]*Table1[[#This Row],[QUANTITY]]</f>
        <v>2998</v>
      </c>
      <c r="P166" s="25"/>
    </row>
    <row r="167" spans="1:16" ht="15.75">
      <c r="A167" s="44">
        <v>166</v>
      </c>
      <c r="B167" s="6">
        <v>266</v>
      </c>
      <c r="C167" s="45" t="s">
        <v>497</v>
      </c>
      <c r="D167" s="46">
        <v>29</v>
      </c>
      <c r="E167" s="7" t="s">
        <v>498</v>
      </c>
      <c r="F167" s="7" t="s">
        <v>499</v>
      </c>
      <c r="G167" s="7" t="s">
        <v>38</v>
      </c>
      <c r="H167" s="5" t="s">
        <v>18</v>
      </c>
      <c r="I167" s="46" t="s">
        <v>48</v>
      </c>
      <c r="J167" s="46" t="s">
        <v>71</v>
      </c>
      <c r="K167" s="46" t="s">
        <v>96</v>
      </c>
      <c r="L167" s="7">
        <v>1</v>
      </c>
      <c r="M167" s="7">
        <v>2799</v>
      </c>
      <c r="N167" s="7" t="s">
        <v>55</v>
      </c>
      <c r="O167" s="16">
        <f>Table1[[#This Row],[PRICE UNIT]]*Table1[[#This Row],[QUANTITY]]</f>
        <v>2799</v>
      </c>
      <c r="P167" s="25"/>
    </row>
    <row r="168" spans="1:16" ht="15.75">
      <c r="A168" s="44">
        <v>167</v>
      </c>
      <c r="B168" s="6">
        <v>267</v>
      </c>
      <c r="C168" s="45">
        <v>46301</v>
      </c>
      <c r="D168" s="46">
        <v>39</v>
      </c>
      <c r="E168" s="7" t="s">
        <v>500</v>
      </c>
      <c r="F168" s="7" t="s">
        <v>501</v>
      </c>
      <c r="G168" s="7" t="s">
        <v>32</v>
      </c>
      <c r="H168" s="5" t="s">
        <v>27</v>
      </c>
      <c r="I168" s="46" t="s">
        <v>49</v>
      </c>
      <c r="J168" s="46" t="s">
        <v>65</v>
      </c>
      <c r="K168" s="46" t="s">
        <v>100</v>
      </c>
      <c r="L168" s="7">
        <v>4</v>
      </c>
      <c r="M168" s="7">
        <v>999</v>
      </c>
      <c r="N168" s="7" t="s">
        <v>57</v>
      </c>
      <c r="O168" s="16">
        <f>Table1[[#This Row],[PRICE UNIT]]*Table1[[#This Row],[QUANTITY]]</f>
        <v>3996</v>
      </c>
      <c r="P168" s="25"/>
    </row>
    <row r="169" spans="1:16" ht="15.75">
      <c r="A169" s="44">
        <v>168</v>
      </c>
      <c r="B169" s="6">
        <v>268</v>
      </c>
      <c r="C169" s="47">
        <v>46213</v>
      </c>
      <c r="D169" s="46">
        <v>21</v>
      </c>
      <c r="E169" s="7" t="s">
        <v>502</v>
      </c>
      <c r="F169" s="7" t="s">
        <v>503</v>
      </c>
      <c r="G169" s="7" t="s">
        <v>34</v>
      </c>
      <c r="H169" s="5" t="s">
        <v>9</v>
      </c>
      <c r="I169" s="46" t="s">
        <v>48</v>
      </c>
      <c r="J169" s="46" t="s">
        <v>62</v>
      </c>
      <c r="K169" s="46" t="s">
        <v>146</v>
      </c>
      <c r="L169" s="7">
        <v>1</v>
      </c>
      <c r="M169" s="7">
        <v>1899</v>
      </c>
      <c r="N169" s="7" t="s">
        <v>56</v>
      </c>
      <c r="O169" s="16">
        <f>Table1[[#This Row],[PRICE UNIT]]*Table1[[#This Row],[QUANTITY]]</f>
        <v>1899</v>
      </c>
      <c r="P169" s="25"/>
    </row>
    <row r="170" spans="1:16" ht="15.75">
      <c r="A170" s="44">
        <v>169</v>
      </c>
      <c r="B170" s="6">
        <v>269</v>
      </c>
      <c r="C170" s="47" t="s">
        <v>504</v>
      </c>
      <c r="D170" s="46">
        <v>42</v>
      </c>
      <c r="E170" s="7" t="s">
        <v>505</v>
      </c>
      <c r="F170" s="7" t="s">
        <v>506</v>
      </c>
      <c r="G170" s="7" t="s">
        <v>36</v>
      </c>
      <c r="H170" s="5" t="s">
        <v>20</v>
      </c>
      <c r="I170" s="46" t="s">
        <v>49</v>
      </c>
      <c r="J170" s="46" t="s">
        <v>68</v>
      </c>
      <c r="K170" s="46" t="s">
        <v>116</v>
      </c>
      <c r="L170" s="7">
        <v>2</v>
      </c>
      <c r="M170" s="7">
        <v>699</v>
      </c>
      <c r="N170" s="7" t="s">
        <v>54</v>
      </c>
      <c r="O170" s="16">
        <f>Table1[[#This Row],[PRICE UNIT]]*Table1[[#This Row],[QUANTITY]]</f>
        <v>1398</v>
      </c>
      <c r="P170" s="25"/>
    </row>
    <row r="171" spans="1:16" ht="15.75">
      <c r="A171" s="44">
        <v>170</v>
      </c>
      <c r="B171" s="6">
        <v>270</v>
      </c>
      <c r="C171" s="47" t="s">
        <v>507</v>
      </c>
      <c r="D171" s="46">
        <v>27</v>
      </c>
      <c r="E171" s="7" t="s">
        <v>508</v>
      </c>
      <c r="F171" s="7" t="s">
        <v>509</v>
      </c>
      <c r="G171" s="7" t="s">
        <v>40</v>
      </c>
      <c r="H171" s="5" t="s">
        <v>13</v>
      </c>
      <c r="I171" s="46" t="s">
        <v>48</v>
      </c>
      <c r="J171" s="46" t="s">
        <v>61</v>
      </c>
      <c r="K171" s="46" t="s">
        <v>120</v>
      </c>
      <c r="L171" s="7">
        <v>3</v>
      </c>
      <c r="M171" s="7">
        <v>2599</v>
      </c>
      <c r="N171" s="7" t="s">
        <v>52</v>
      </c>
      <c r="O171" s="16">
        <f>Table1[[#This Row],[PRICE UNIT]]*Table1[[#This Row],[QUANTITY]]</f>
        <v>7797</v>
      </c>
      <c r="P171" s="25"/>
    </row>
    <row r="172" spans="1:16" ht="15.75">
      <c r="A172" s="44">
        <v>171</v>
      </c>
      <c r="B172" s="6">
        <v>271</v>
      </c>
      <c r="C172" s="47" t="s">
        <v>510</v>
      </c>
      <c r="D172" s="46">
        <v>34</v>
      </c>
      <c r="E172" s="7" t="s">
        <v>511</v>
      </c>
      <c r="F172" s="7" t="s">
        <v>138</v>
      </c>
      <c r="G172" s="7" t="s">
        <v>8</v>
      </c>
      <c r="H172" s="5" t="s">
        <v>16</v>
      </c>
      <c r="I172" s="46" t="s">
        <v>49</v>
      </c>
      <c r="J172" s="46" t="s">
        <v>65</v>
      </c>
      <c r="K172" s="46" t="s">
        <v>139</v>
      </c>
      <c r="L172" s="7">
        <v>1</v>
      </c>
      <c r="M172" s="7">
        <v>1199</v>
      </c>
      <c r="N172" s="7" t="s">
        <v>53</v>
      </c>
      <c r="O172" s="16">
        <f>Table1[[#This Row],[PRICE UNIT]]*Table1[[#This Row],[QUANTITY]]</f>
        <v>1199</v>
      </c>
      <c r="P172" s="25"/>
    </row>
    <row r="173" spans="1:16" ht="15.75">
      <c r="A173" s="44">
        <v>172</v>
      </c>
      <c r="B173" s="6">
        <v>272</v>
      </c>
      <c r="C173" s="47" t="s">
        <v>512</v>
      </c>
      <c r="D173" s="46">
        <v>30</v>
      </c>
      <c r="E173" s="7" t="s">
        <v>513</v>
      </c>
      <c r="F173" s="7" t="s">
        <v>135</v>
      </c>
      <c r="G173" s="7" t="s">
        <v>44</v>
      </c>
      <c r="H173" s="5" t="s">
        <v>24</v>
      </c>
      <c r="I173" s="46" t="s">
        <v>48</v>
      </c>
      <c r="J173" s="46" t="s">
        <v>62</v>
      </c>
      <c r="K173" s="46" t="s">
        <v>107</v>
      </c>
      <c r="L173" s="7">
        <v>2</v>
      </c>
      <c r="M173" s="7">
        <v>2199</v>
      </c>
      <c r="N173" s="7" t="s">
        <v>56</v>
      </c>
      <c r="O173" s="16">
        <f>Table1[[#This Row],[PRICE UNIT]]*Table1[[#This Row],[QUANTITY]]</f>
        <v>4398</v>
      </c>
      <c r="P173" s="25"/>
    </row>
    <row r="174" spans="1:16" ht="15.75">
      <c r="A174" s="44">
        <v>173</v>
      </c>
      <c r="B174" s="6">
        <v>273</v>
      </c>
      <c r="C174" s="47">
        <v>46178</v>
      </c>
      <c r="D174" s="46">
        <v>38</v>
      </c>
      <c r="E174" s="7" t="s">
        <v>514</v>
      </c>
      <c r="F174" s="7" t="s">
        <v>206</v>
      </c>
      <c r="G174" s="7" t="s">
        <v>30</v>
      </c>
      <c r="H174" s="5" t="s">
        <v>22</v>
      </c>
      <c r="I174" s="46" t="s">
        <v>49</v>
      </c>
      <c r="J174" s="46" t="s">
        <v>515</v>
      </c>
      <c r="K174" s="46" t="s">
        <v>110</v>
      </c>
      <c r="L174" s="7">
        <v>1</v>
      </c>
      <c r="M174" s="7">
        <v>1599</v>
      </c>
      <c r="N174" s="7" t="s">
        <v>55</v>
      </c>
      <c r="O174" s="16">
        <f>Table1[[#This Row],[PRICE UNIT]]*Table1[[#This Row],[QUANTITY]]</f>
        <v>1599</v>
      </c>
      <c r="P174" s="25"/>
    </row>
    <row r="175" spans="1:16" ht="15.75">
      <c r="A175" s="44">
        <v>174</v>
      </c>
      <c r="B175" s="6">
        <v>274</v>
      </c>
      <c r="C175" s="47" t="s">
        <v>516</v>
      </c>
      <c r="D175" s="46">
        <v>23</v>
      </c>
      <c r="E175" s="7" t="s">
        <v>517</v>
      </c>
      <c r="F175" s="7" t="s">
        <v>209</v>
      </c>
      <c r="G175" s="7" t="s">
        <v>32</v>
      </c>
      <c r="H175" s="5" t="s">
        <v>10</v>
      </c>
      <c r="I175" s="46" t="s">
        <v>49</v>
      </c>
      <c r="J175" s="46" t="s">
        <v>68</v>
      </c>
      <c r="K175" s="46" t="s">
        <v>155</v>
      </c>
      <c r="L175" s="7">
        <v>3</v>
      </c>
      <c r="M175" s="7">
        <v>2999</v>
      </c>
      <c r="N175" s="7" t="s">
        <v>54</v>
      </c>
      <c r="O175" s="16">
        <f>Table1[[#This Row],[PRICE UNIT]]*Table1[[#This Row],[QUANTITY]]</f>
        <v>8997</v>
      </c>
      <c r="P175" s="25"/>
    </row>
    <row r="176" spans="1:16" ht="15.75">
      <c r="A176" s="44">
        <v>175</v>
      </c>
      <c r="B176" s="6">
        <v>275</v>
      </c>
      <c r="C176" s="47" t="s">
        <v>518</v>
      </c>
      <c r="D176" s="46">
        <v>41</v>
      </c>
      <c r="E176" s="7" t="s">
        <v>519</v>
      </c>
      <c r="F176" s="7" t="s">
        <v>520</v>
      </c>
      <c r="G176" s="7" t="s">
        <v>42</v>
      </c>
      <c r="H176" s="5" t="s">
        <v>25</v>
      </c>
      <c r="I176" s="46" t="s">
        <v>49</v>
      </c>
      <c r="J176" s="46" t="s">
        <v>71</v>
      </c>
      <c r="K176" s="46" t="s">
        <v>124</v>
      </c>
      <c r="L176" s="7">
        <v>2</v>
      </c>
      <c r="M176" s="7">
        <v>899</v>
      </c>
      <c r="N176" s="7" t="s">
        <v>57</v>
      </c>
      <c r="O176" s="16">
        <f>Table1[[#This Row],[PRICE UNIT]]*Table1[[#This Row],[QUANTITY]]</f>
        <v>1798</v>
      </c>
      <c r="P176" s="25"/>
    </row>
    <row r="177" spans="1:16" ht="15.75">
      <c r="A177" s="44">
        <v>176</v>
      </c>
      <c r="B177" s="6">
        <v>276</v>
      </c>
      <c r="C177" s="47">
        <v>46153</v>
      </c>
      <c r="D177" s="46">
        <v>25</v>
      </c>
      <c r="E177" s="7" t="s">
        <v>521</v>
      </c>
      <c r="F177" s="7" t="s">
        <v>522</v>
      </c>
      <c r="G177" s="7" t="s">
        <v>38</v>
      </c>
      <c r="H177" s="5" t="s">
        <v>28</v>
      </c>
      <c r="I177" s="46" t="s">
        <v>50</v>
      </c>
      <c r="J177" s="46" t="s">
        <v>62</v>
      </c>
      <c r="K177" s="46" t="s">
        <v>96</v>
      </c>
      <c r="L177" s="7">
        <v>1</v>
      </c>
      <c r="M177" s="7">
        <v>1999</v>
      </c>
      <c r="N177" s="7" t="s">
        <v>56</v>
      </c>
      <c r="O177" s="16">
        <f>Table1[[#This Row],[PRICE UNIT]]*Table1[[#This Row],[QUANTITY]]</f>
        <v>1999</v>
      </c>
      <c r="P177" s="25"/>
    </row>
    <row r="178" spans="1:16" ht="15.75">
      <c r="A178" s="44">
        <v>177</v>
      </c>
      <c r="B178" s="6">
        <v>277</v>
      </c>
      <c r="C178" s="47" t="s">
        <v>523</v>
      </c>
      <c r="D178" s="46">
        <v>36</v>
      </c>
      <c r="E178" s="7" t="s">
        <v>524</v>
      </c>
      <c r="F178" s="7" t="s">
        <v>525</v>
      </c>
      <c r="G178" s="7" t="s">
        <v>34</v>
      </c>
      <c r="H178" s="5" t="s">
        <v>11</v>
      </c>
      <c r="I178" s="46" t="s">
        <v>49</v>
      </c>
      <c r="J178" s="46" t="s">
        <v>65</v>
      </c>
      <c r="K178" s="46" t="s">
        <v>104</v>
      </c>
      <c r="L178" s="7">
        <v>2</v>
      </c>
      <c r="M178" s="7">
        <v>1299</v>
      </c>
      <c r="N178" s="7" t="s">
        <v>53</v>
      </c>
      <c r="O178" s="16">
        <f>Table1[[#This Row],[PRICE UNIT]]*Table1[[#This Row],[QUANTITY]]</f>
        <v>2598</v>
      </c>
      <c r="P178" s="25"/>
    </row>
    <row r="179" spans="1:16" ht="15.75">
      <c r="A179" s="44">
        <v>178</v>
      </c>
      <c r="B179" s="6">
        <v>278</v>
      </c>
      <c r="C179" s="47">
        <v>46334</v>
      </c>
      <c r="D179" s="46">
        <v>28</v>
      </c>
      <c r="E179" s="7" t="s">
        <v>526</v>
      </c>
      <c r="F179" s="7" t="s">
        <v>527</v>
      </c>
      <c r="G179" s="7" t="s">
        <v>36</v>
      </c>
      <c r="H179" s="5" t="s">
        <v>17</v>
      </c>
      <c r="I179" s="46" t="s">
        <v>48</v>
      </c>
      <c r="J179" s="46" t="s">
        <v>61</v>
      </c>
      <c r="K179" s="46" t="s">
        <v>100</v>
      </c>
      <c r="L179" s="7">
        <v>1</v>
      </c>
      <c r="M179" s="7">
        <v>3499</v>
      </c>
      <c r="N179" s="7" t="s">
        <v>52</v>
      </c>
      <c r="O179" s="16">
        <f>Table1[[#This Row],[PRICE UNIT]]*Table1[[#This Row],[QUANTITY]]</f>
        <v>3499</v>
      </c>
      <c r="P179" s="25"/>
    </row>
    <row r="180" spans="1:16" ht="15.75">
      <c r="A180" s="44">
        <v>179</v>
      </c>
      <c r="B180" s="6">
        <v>279</v>
      </c>
      <c r="C180" s="47">
        <v>46059</v>
      </c>
      <c r="D180" s="46">
        <v>45</v>
      </c>
      <c r="E180" s="7" t="s">
        <v>528</v>
      </c>
      <c r="F180" s="7" t="s">
        <v>529</v>
      </c>
      <c r="G180" s="7" t="s">
        <v>40</v>
      </c>
      <c r="H180" s="5" t="s">
        <v>14</v>
      </c>
      <c r="I180" s="46" t="s">
        <v>50</v>
      </c>
      <c r="J180" s="46" t="s">
        <v>68</v>
      </c>
      <c r="K180" s="46" t="s">
        <v>113</v>
      </c>
      <c r="L180" s="7">
        <v>4</v>
      </c>
      <c r="M180" s="7">
        <v>799</v>
      </c>
      <c r="N180" s="7" t="s">
        <v>54</v>
      </c>
      <c r="O180" s="16">
        <f>Table1[[#This Row],[PRICE UNIT]]*Table1[[#This Row],[QUANTITY]]</f>
        <v>3196</v>
      </c>
      <c r="P180" s="25"/>
    </row>
    <row r="181" spans="1:16" ht="15.75">
      <c r="A181" s="44">
        <v>180</v>
      </c>
      <c r="B181" s="6">
        <v>280</v>
      </c>
      <c r="C181" s="47" t="s">
        <v>530</v>
      </c>
      <c r="D181" s="46">
        <v>20</v>
      </c>
      <c r="E181" s="7" t="s">
        <v>531</v>
      </c>
      <c r="F181" s="7" t="s">
        <v>79</v>
      </c>
      <c r="G181" s="7" t="s">
        <v>8</v>
      </c>
      <c r="H181" s="5" t="s">
        <v>19</v>
      </c>
      <c r="I181" s="46" t="s">
        <v>48</v>
      </c>
      <c r="J181" s="46" t="s">
        <v>62</v>
      </c>
      <c r="K181" s="46" t="s">
        <v>116</v>
      </c>
      <c r="L181" s="7">
        <v>2</v>
      </c>
      <c r="M181" s="7">
        <v>2299</v>
      </c>
      <c r="N181" s="7" t="s">
        <v>56</v>
      </c>
      <c r="O181" s="16">
        <f>Table1[[#This Row],[PRICE UNIT]]*Table1[[#This Row],[QUANTITY]]</f>
        <v>4598</v>
      </c>
      <c r="P181" s="25"/>
    </row>
    <row r="182" spans="1:16" ht="15.75">
      <c r="A182" s="44">
        <v>181</v>
      </c>
      <c r="B182" s="6">
        <v>281</v>
      </c>
      <c r="C182" s="47" t="s">
        <v>532</v>
      </c>
      <c r="D182" s="46">
        <v>32</v>
      </c>
      <c r="E182" s="7" t="s">
        <v>533</v>
      </c>
      <c r="F182" s="7" t="s">
        <v>534</v>
      </c>
      <c r="G182" s="7" t="s">
        <v>44</v>
      </c>
      <c r="H182" s="5" t="s">
        <v>26</v>
      </c>
      <c r="I182" s="46" t="s">
        <v>49</v>
      </c>
      <c r="J182" s="46" t="s">
        <v>61</v>
      </c>
      <c r="K182" s="46" t="s">
        <v>107</v>
      </c>
      <c r="L182" s="7">
        <v>1</v>
      </c>
      <c r="M182" s="7">
        <v>1399</v>
      </c>
      <c r="N182" s="7" t="s">
        <v>55</v>
      </c>
      <c r="O182" s="16">
        <f>Table1[[#This Row],[PRICE UNIT]]*Table1[[#This Row],[QUANTITY]]</f>
        <v>1399</v>
      </c>
      <c r="P182" s="25"/>
    </row>
    <row r="183" spans="1:16" ht="15.75">
      <c r="A183" s="44">
        <v>182</v>
      </c>
      <c r="B183" s="6">
        <v>282</v>
      </c>
      <c r="C183" s="47">
        <v>46149</v>
      </c>
      <c r="D183" s="46">
        <v>26</v>
      </c>
      <c r="E183" s="7" t="s">
        <v>535</v>
      </c>
      <c r="F183" s="7" t="s">
        <v>536</v>
      </c>
      <c r="G183" s="7" t="s">
        <v>42</v>
      </c>
      <c r="H183" s="5" t="s">
        <v>15</v>
      </c>
      <c r="I183" s="46" t="s">
        <v>48</v>
      </c>
      <c r="J183" s="46" t="s">
        <v>65</v>
      </c>
      <c r="K183" s="46" t="s">
        <v>110</v>
      </c>
      <c r="L183" s="7">
        <v>3</v>
      </c>
      <c r="M183" s="7">
        <v>2799</v>
      </c>
      <c r="N183" s="7" t="s">
        <v>53</v>
      </c>
      <c r="O183" s="16">
        <f>Table1[[#This Row],[PRICE UNIT]]*Table1[[#This Row],[QUANTITY]]</f>
        <v>8397</v>
      </c>
      <c r="P183" s="25"/>
    </row>
    <row r="184" spans="1:16" ht="15.75">
      <c r="A184" s="44">
        <v>183</v>
      </c>
      <c r="B184" s="6">
        <v>283</v>
      </c>
      <c r="C184" s="47" t="s">
        <v>537</v>
      </c>
      <c r="D184" s="46">
        <v>40</v>
      </c>
      <c r="E184" s="7" t="s">
        <v>437</v>
      </c>
      <c r="F184" s="7" t="s">
        <v>538</v>
      </c>
      <c r="G184" s="7" t="s">
        <v>44</v>
      </c>
      <c r="H184" s="5" t="s">
        <v>23</v>
      </c>
      <c r="I184" s="46" t="s">
        <v>49</v>
      </c>
      <c r="J184" s="46" t="s">
        <v>71</v>
      </c>
      <c r="K184" s="46" t="s">
        <v>120</v>
      </c>
      <c r="L184" s="7">
        <v>1</v>
      </c>
      <c r="M184" s="7">
        <v>999</v>
      </c>
      <c r="N184" s="7" t="s">
        <v>57</v>
      </c>
      <c r="O184" s="16">
        <f>Table1[[#This Row],[PRICE UNIT]]*Table1[[#This Row],[QUANTITY]]</f>
        <v>999</v>
      </c>
      <c r="P184" s="25"/>
    </row>
    <row r="185" spans="1:16" ht="15.75">
      <c r="A185" s="44">
        <v>184</v>
      </c>
      <c r="B185" s="6">
        <v>284</v>
      </c>
      <c r="C185" s="47">
        <v>46034</v>
      </c>
      <c r="D185" s="46">
        <v>31</v>
      </c>
      <c r="E185" s="7" t="s">
        <v>539</v>
      </c>
      <c r="F185" s="7" t="s">
        <v>540</v>
      </c>
      <c r="G185" s="7" t="s">
        <v>42</v>
      </c>
      <c r="H185" s="5" t="s">
        <v>21</v>
      </c>
      <c r="I185" s="46" t="s">
        <v>48</v>
      </c>
      <c r="J185" s="46" t="s">
        <v>62</v>
      </c>
      <c r="K185" s="46" t="s">
        <v>128</v>
      </c>
      <c r="L185" s="7">
        <v>2</v>
      </c>
      <c r="M185" s="7">
        <v>1899</v>
      </c>
      <c r="N185" s="7" t="s">
        <v>56</v>
      </c>
      <c r="O185" s="16">
        <f>Table1[[#This Row],[PRICE UNIT]]*Table1[[#This Row],[QUANTITY]]</f>
        <v>3798</v>
      </c>
      <c r="P185" s="25"/>
    </row>
    <row r="186" spans="1:16" ht="15.75">
      <c r="A186" s="44">
        <v>185</v>
      </c>
      <c r="B186" s="6">
        <v>285</v>
      </c>
      <c r="C186" s="47" t="s">
        <v>541</v>
      </c>
      <c r="D186" s="46">
        <v>24</v>
      </c>
      <c r="E186" s="7" t="s">
        <v>542</v>
      </c>
      <c r="F186" s="7" t="s">
        <v>212</v>
      </c>
      <c r="G186" s="7" t="s">
        <v>44</v>
      </c>
      <c r="H186" s="5" t="s">
        <v>12</v>
      </c>
      <c r="I186" s="46" t="s">
        <v>49</v>
      </c>
      <c r="J186" s="46" t="s">
        <v>68</v>
      </c>
      <c r="K186" s="46" t="s">
        <v>152</v>
      </c>
      <c r="L186" s="7">
        <v>3</v>
      </c>
      <c r="M186" s="7">
        <v>699</v>
      </c>
      <c r="N186" s="7" t="s">
        <v>54</v>
      </c>
      <c r="O186" s="16">
        <f>Table1[[#This Row],[PRICE UNIT]]*Table1[[#This Row],[QUANTITY]]</f>
        <v>2097</v>
      </c>
      <c r="P186" s="25"/>
    </row>
    <row r="187" spans="1:16" ht="15.75">
      <c r="A187" s="44">
        <v>186</v>
      </c>
      <c r="B187" s="6">
        <v>286</v>
      </c>
      <c r="C187" s="47">
        <v>46304</v>
      </c>
      <c r="D187" s="46">
        <v>37</v>
      </c>
      <c r="E187" s="7" t="s">
        <v>543</v>
      </c>
      <c r="F187" s="7" t="s">
        <v>67</v>
      </c>
      <c r="G187" s="7" t="s">
        <v>42</v>
      </c>
      <c r="H187" s="5" t="s">
        <v>18</v>
      </c>
      <c r="I187" s="46" t="s">
        <v>48</v>
      </c>
      <c r="J187" s="46" t="s">
        <v>61</v>
      </c>
      <c r="K187" s="46" t="s">
        <v>96</v>
      </c>
      <c r="L187" s="7">
        <v>2</v>
      </c>
      <c r="M187" s="7">
        <v>2499</v>
      </c>
      <c r="N187" s="7" t="s">
        <v>52</v>
      </c>
      <c r="O187" s="16">
        <f>Table1[[#This Row],[PRICE UNIT]]*Table1[[#This Row],[QUANTITY]]</f>
        <v>4998</v>
      </c>
      <c r="P187" s="25"/>
    </row>
    <row r="188" spans="1:16" ht="15.75">
      <c r="A188" s="44">
        <v>187</v>
      </c>
      <c r="B188" s="6">
        <v>287</v>
      </c>
      <c r="C188" s="47" t="s">
        <v>544</v>
      </c>
      <c r="D188" s="46">
        <v>29</v>
      </c>
      <c r="E188" s="7" t="s">
        <v>545</v>
      </c>
      <c r="F188" s="7" t="s">
        <v>546</v>
      </c>
      <c r="G188" s="7" t="s">
        <v>44</v>
      </c>
      <c r="H188" s="5" t="s">
        <v>27</v>
      </c>
      <c r="I188" s="46" t="s">
        <v>49</v>
      </c>
      <c r="J188" s="46" t="s">
        <v>65</v>
      </c>
      <c r="K188" s="46" t="s">
        <v>100</v>
      </c>
      <c r="L188" s="7">
        <v>2</v>
      </c>
      <c r="M188" s="7">
        <v>1199</v>
      </c>
      <c r="N188" s="7" t="s">
        <v>55</v>
      </c>
      <c r="O188" s="16">
        <f>Table1[[#This Row],[PRICE UNIT]]*Table1[[#This Row],[QUANTITY]]</f>
        <v>2398</v>
      </c>
      <c r="P188" s="25"/>
    </row>
    <row r="189" spans="1:16" ht="15.75">
      <c r="A189" s="44">
        <v>188</v>
      </c>
      <c r="B189" s="6">
        <v>288</v>
      </c>
      <c r="C189" s="47" t="s">
        <v>547</v>
      </c>
      <c r="D189" s="46">
        <v>43</v>
      </c>
      <c r="E189" s="7" t="s">
        <v>548</v>
      </c>
      <c r="F189" s="7" t="s">
        <v>549</v>
      </c>
      <c r="G189" s="7" t="s">
        <v>42</v>
      </c>
      <c r="H189" s="5" t="s">
        <v>9</v>
      </c>
      <c r="I189" s="46" t="s">
        <v>48</v>
      </c>
      <c r="J189" s="46" t="s">
        <v>62</v>
      </c>
      <c r="K189" s="46" t="s">
        <v>136</v>
      </c>
      <c r="L189" s="7">
        <v>1</v>
      </c>
      <c r="M189" s="7">
        <v>2199</v>
      </c>
      <c r="N189" s="7" t="s">
        <v>53</v>
      </c>
      <c r="O189" s="16">
        <f>Table1[[#This Row],[PRICE UNIT]]*Table1[[#This Row],[QUANTITY]]</f>
        <v>2199</v>
      </c>
      <c r="P189" s="25"/>
    </row>
    <row r="190" spans="1:16" ht="15.75">
      <c r="A190" s="44">
        <v>189</v>
      </c>
      <c r="B190" s="6">
        <v>289</v>
      </c>
      <c r="C190" s="47">
        <v>46330</v>
      </c>
      <c r="D190" s="46">
        <v>22</v>
      </c>
      <c r="E190" s="7" t="s">
        <v>550</v>
      </c>
      <c r="F190" s="7" t="s">
        <v>551</v>
      </c>
      <c r="G190" s="7" t="s">
        <v>44</v>
      </c>
      <c r="H190" s="5" t="s">
        <v>20</v>
      </c>
      <c r="I190" s="46" t="s">
        <v>49</v>
      </c>
      <c r="J190" s="46" t="s">
        <v>61</v>
      </c>
      <c r="K190" s="46" t="s">
        <v>139</v>
      </c>
      <c r="L190" s="7">
        <v>3</v>
      </c>
      <c r="M190" s="7">
        <v>1599</v>
      </c>
      <c r="N190" s="7" t="s">
        <v>57</v>
      </c>
      <c r="O190" s="16">
        <f>Table1[[#This Row],[PRICE UNIT]]*Table1[[#This Row],[QUANTITY]]</f>
        <v>4797</v>
      </c>
      <c r="P190" s="25"/>
    </row>
    <row r="191" spans="1:16" ht="15.75">
      <c r="A191" s="44">
        <v>190</v>
      </c>
      <c r="B191" s="6">
        <v>290</v>
      </c>
      <c r="C191" s="47" t="s">
        <v>552</v>
      </c>
      <c r="D191" s="46">
        <v>35</v>
      </c>
      <c r="E191" s="7" t="s">
        <v>553</v>
      </c>
      <c r="F191" s="7" t="s">
        <v>216</v>
      </c>
      <c r="G191" s="7" t="s">
        <v>42</v>
      </c>
      <c r="H191" s="5" t="s">
        <v>13</v>
      </c>
      <c r="I191" s="46" t="s">
        <v>48</v>
      </c>
      <c r="J191" s="46" t="s">
        <v>68</v>
      </c>
      <c r="K191" s="46" t="s">
        <v>146</v>
      </c>
      <c r="L191" s="7">
        <v>2</v>
      </c>
      <c r="M191" s="7">
        <v>2999</v>
      </c>
      <c r="N191" s="7" t="s">
        <v>56</v>
      </c>
      <c r="O191" s="16">
        <f>Table1[[#This Row],[PRICE UNIT]]*Table1[[#This Row],[QUANTITY]]</f>
        <v>5998</v>
      </c>
      <c r="P191" s="25"/>
    </row>
    <row r="192" spans="1:16" ht="15.75">
      <c r="A192" s="44">
        <v>191</v>
      </c>
      <c r="B192" s="6">
        <v>291</v>
      </c>
      <c r="C192" s="47" t="s">
        <v>554</v>
      </c>
      <c r="D192" s="46">
        <v>27</v>
      </c>
      <c r="E192" s="7" t="s">
        <v>555</v>
      </c>
      <c r="F192" s="7" t="s">
        <v>556</v>
      </c>
      <c r="G192" s="7" t="s">
        <v>44</v>
      </c>
      <c r="H192" s="5" t="s">
        <v>16</v>
      </c>
      <c r="I192" s="46" t="s">
        <v>49</v>
      </c>
      <c r="J192" s="46" t="s">
        <v>71</v>
      </c>
      <c r="K192" s="46" t="s">
        <v>107</v>
      </c>
      <c r="L192" s="7">
        <v>3</v>
      </c>
      <c r="M192" s="7">
        <v>899</v>
      </c>
      <c r="N192" s="7" t="s">
        <v>54</v>
      </c>
      <c r="O192" s="16">
        <f>Table1[[#This Row],[PRICE UNIT]]*Table1[[#This Row],[QUANTITY]]</f>
        <v>2697</v>
      </c>
      <c r="P192" s="25"/>
    </row>
    <row r="193" spans="1:16" ht="15.75">
      <c r="A193" s="44">
        <v>192</v>
      </c>
      <c r="B193" s="6">
        <v>292</v>
      </c>
      <c r="C193" s="47">
        <v>46366</v>
      </c>
      <c r="D193" s="46">
        <v>39</v>
      </c>
      <c r="E193" s="7" t="s">
        <v>557</v>
      </c>
      <c r="F193" s="7" t="s">
        <v>558</v>
      </c>
      <c r="G193" s="7" t="s">
        <v>42</v>
      </c>
      <c r="H193" s="5" t="s">
        <v>24</v>
      </c>
      <c r="I193" s="46" t="s">
        <v>48</v>
      </c>
      <c r="J193" s="46" t="s">
        <v>62</v>
      </c>
      <c r="K193" s="46" t="s">
        <v>124</v>
      </c>
      <c r="L193" s="7">
        <v>1</v>
      </c>
      <c r="M193" s="7">
        <v>1999</v>
      </c>
      <c r="N193" s="7" t="s">
        <v>52</v>
      </c>
      <c r="O193" s="16">
        <f>Table1[[#This Row],[PRICE UNIT]]*Table1[[#This Row],[QUANTITY]]</f>
        <v>1999</v>
      </c>
      <c r="P193" s="25"/>
    </row>
    <row r="194" spans="1:16" ht="15.75">
      <c r="A194" s="44">
        <v>193</v>
      </c>
      <c r="B194" s="6">
        <v>293</v>
      </c>
      <c r="C194" s="47">
        <v>46237</v>
      </c>
      <c r="D194" s="46">
        <v>33</v>
      </c>
      <c r="E194" s="7" t="s">
        <v>559</v>
      </c>
      <c r="F194" s="7" t="s">
        <v>560</v>
      </c>
      <c r="G194" s="7" t="s">
        <v>44</v>
      </c>
      <c r="H194" s="5" t="s">
        <v>22</v>
      </c>
      <c r="I194" s="46" t="s">
        <v>49</v>
      </c>
      <c r="J194" s="46" t="s">
        <v>65</v>
      </c>
      <c r="K194" s="46" t="s">
        <v>110</v>
      </c>
      <c r="L194" s="7">
        <v>1</v>
      </c>
      <c r="M194" s="7">
        <v>1299</v>
      </c>
      <c r="N194" s="7" t="s">
        <v>55</v>
      </c>
      <c r="O194" s="16">
        <f>Table1[[#This Row],[PRICE UNIT]]*Table1[[#This Row],[QUANTITY]]</f>
        <v>1299</v>
      </c>
      <c r="P194" s="25"/>
    </row>
    <row r="195" spans="1:16" ht="15.75">
      <c r="A195" s="44">
        <v>194</v>
      </c>
      <c r="B195" s="6">
        <v>294</v>
      </c>
      <c r="C195" s="47">
        <v>46245</v>
      </c>
      <c r="D195" s="46">
        <v>21</v>
      </c>
      <c r="E195" s="7" t="s">
        <v>561</v>
      </c>
      <c r="F195" s="7" t="s">
        <v>81</v>
      </c>
      <c r="G195" s="7" t="s">
        <v>42</v>
      </c>
      <c r="H195" s="5" t="s">
        <v>10</v>
      </c>
      <c r="I195" s="46" t="s">
        <v>48</v>
      </c>
      <c r="J195" s="46" t="s">
        <v>61</v>
      </c>
      <c r="K195" s="46" t="s">
        <v>116</v>
      </c>
      <c r="L195" s="7">
        <v>2</v>
      </c>
      <c r="M195" s="7">
        <v>3499</v>
      </c>
      <c r="N195" s="7" t="s">
        <v>53</v>
      </c>
      <c r="O195" s="16">
        <f>Table1[[#This Row],[PRICE UNIT]]*Table1[[#This Row],[QUANTITY]]</f>
        <v>6998</v>
      </c>
      <c r="P195" s="25"/>
    </row>
    <row r="196" spans="1:16" ht="15.75">
      <c r="A196" s="44">
        <v>195</v>
      </c>
      <c r="B196" s="6">
        <v>295</v>
      </c>
      <c r="C196" s="47">
        <v>46261</v>
      </c>
      <c r="D196" s="46">
        <v>44</v>
      </c>
      <c r="E196" s="7" t="s">
        <v>562</v>
      </c>
      <c r="F196" s="7" t="s">
        <v>220</v>
      </c>
      <c r="G196" s="7" t="s">
        <v>44</v>
      </c>
      <c r="H196" s="5" t="s">
        <v>25</v>
      </c>
      <c r="I196" s="46" t="s">
        <v>49</v>
      </c>
      <c r="J196" s="46" t="s">
        <v>68</v>
      </c>
      <c r="K196" s="46" t="s">
        <v>120</v>
      </c>
      <c r="L196" s="7">
        <v>1</v>
      </c>
      <c r="M196" s="7">
        <v>799</v>
      </c>
      <c r="N196" s="7" t="s">
        <v>57</v>
      </c>
      <c r="O196" s="16">
        <f>Table1[[#This Row],[PRICE UNIT]]*Table1[[#This Row],[QUANTITY]]</f>
        <v>799</v>
      </c>
      <c r="P196" s="25"/>
    </row>
    <row r="197" spans="1:16" ht="15.75">
      <c r="A197" s="44">
        <v>196</v>
      </c>
      <c r="B197" s="6">
        <v>296</v>
      </c>
      <c r="C197" s="47">
        <v>46368</v>
      </c>
      <c r="D197" s="46">
        <v>28</v>
      </c>
      <c r="E197" s="7" t="s">
        <v>563</v>
      </c>
      <c r="F197" s="7" t="s">
        <v>184</v>
      </c>
      <c r="G197" s="7" t="s">
        <v>42</v>
      </c>
      <c r="H197" s="5" t="s">
        <v>28</v>
      </c>
      <c r="I197" s="46" t="s">
        <v>48</v>
      </c>
      <c r="J197" s="46" t="s">
        <v>62</v>
      </c>
      <c r="K197" s="46" t="s">
        <v>96</v>
      </c>
      <c r="L197" s="7">
        <v>3</v>
      </c>
      <c r="M197" s="7">
        <v>2399</v>
      </c>
      <c r="N197" s="7" t="s">
        <v>56</v>
      </c>
      <c r="O197" s="16">
        <f>Table1[[#This Row],[PRICE UNIT]]*Table1[[#This Row],[QUANTITY]]</f>
        <v>7197</v>
      </c>
      <c r="P197" s="25"/>
    </row>
    <row r="198" spans="1:16" ht="15.75">
      <c r="A198" s="44">
        <v>197</v>
      </c>
      <c r="B198" s="6">
        <v>297</v>
      </c>
      <c r="C198" s="47" t="s">
        <v>564</v>
      </c>
      <c r="D198" s="46">
        <v>36</v>
      </c>
      <c r="E198" s="7" t="s">
        <v>565</v>
      </c>
      <c r="F198" s="7" t="s">
        <v>226</v>
      </c>
      <c r="G198" s="7" t="s">
        <v>44</v>
      </c>
      <c r="H198" s="5" t="s">
        <v>11</v>
      </c>
      <c r="I198" s="46" t="s">
        <v>50</v>
      </c>
      <c r="J198" s="46" t="s">
        <v>61</v>
      </c>
      <c r="K198" s="46" t="s">
        <v>100</v>
      </c>
      <c r="L198" s="7">
        <v>3</v>
      </c>
      <c r="M198" s="7">
        <v>1499</v>
      </c>
      <c r="N198" s="7" t="s">
        <v>54</v>
      </c>
      <c r="O198" s="16">
        <f>Table1[[#This Row],[PRICE UNIT]]*Table1[[#This Row],[QUANTITY]]</f>
        <v>4497</v>
      </c>
      <c r="P198" s="25"/>
    </row>
    <row r="199" spans="1:16" ht="15.75">
      <c r="A199" s="44">
        <v>198</v>
      </c>
      <c r="B199" s="6">
        <v>298</v>
      </c>
      <c r="C199" s="47">
        <v>46337</v>
      </c>
      <c r="D199" s="46">
        <v>25</v>
      </c>
      <c r="E199" s="7" t="s">
        <v>566</v>
      </c>
      <c r="F199" s="7" t="s">
        <v>231</v>
      </c>
      <c r="G199" s="7" t="s">
        <v>42</v>
      </c>
      <c r="H199" s="5" t="s">
        <v>17</v>
      </c>
      <c r="I199" s="46" t="s">
        <v>48</v>
      </c>
      <c r="J199" s="46" t="s">
        <v>65</v>
      </c>
      <c r="K199" s="46" t="s">
        <v>104</v>
      </c>
      <c r="L199" s="7">
        <v>3</v>
      </c>
      <c r="M199" s="7">
        <v>2799</v>
      </c>
      <c r="N199" s="7" t="s">
        <v>52</v>
      </c>
      <c r="O199" s="16">
        <f>Table1[[#This Row],[PRICE UNIT]]*Table1[[#This Row],[QUANTITY]]</f>
        <v>8397</v>
      </c>
      <c r="P199" s="25"/>
    </row>
    <row r="200" spans="1:16" ht="15.75">
      <c r="A200" s="44">
        <v>199</v>
      </c>
      <c r="B200" s="6">
        <v>299</v>
      </c>
      <c r="C200" s="47">
        <v>2022026</v>
      </c>
      <c r="D200" s="46">
        <v>41</v>
      </c>
      <c r="E200" s="7" t="s">
        <v>567</v>
      </c>
      <c r="F200" s="7" t="s">
        <v>568</v>
      </c>
      <c r="G200" s="7" t="s">
        <v>44</v>
      </c>
      <c r="H200" s="5" t="s">
        <v>14</v>
      </c>
      <c r="I200" s="46" t="s">
        <v>49</v>
      </c>
      <c r="J200" s="46" t="s">
        <v>71</v>
      </c>
      <c r="K200" s="7" t="s">
        <v>107</v>
      </c>
      <c r="L200" s="7">
        <v>2</v>
      </c>
      <c r="M200" s="7">
        <v>999</v>
      </c>
      <c r="N200" s="7" t="s">
        <v>55</v>
      </c>
      <c r="O200" s="16">
        <f>Table1[[#This Row],[PRICE UNIT]]*Table1[[#This Row],[QUANTITY]]</f>
        <v>1998</v>
      </c>
      <c r="P200" s="25"/>
    </row>
    <row r="201" spans="1:16" ht="15.75">
      <c r="A201" s="48">
        <v>200</v>
      </c>
      <c r="B201" s="14">
        <v>300</v>
      </c>
      <c r="C201" s="49" t="s">
        <v>569</v>
      </c>
      <c r="D201" s="50">
        <v>30</v>
      </c>
      <c r="E201" s="9" t="s">
        <v>570</v>
      </c>
      <c r="F201" s="9" t="s">
        <v>571</v>
      </c>
      <c r="G201" s="9" t="s">
        <v>42</v>
      </c>
      <c r="H201" s="15" t="s">
        <v>19</v>
      </c>
      <c r="I201" s="50" t="s">
        <v>49</v>
      </c>
      <c r="J201" s="50" t="s">
        <v>65</v>
      </c>
      <c r="K201" s="9" t="s">
        <v>146</v>
      </c>
      <c r="L201" s="9">
        <v>1</v>
      </c>
      <c r="M201" s="9">
        <v>1899</v>
      </c>
      <c r="N201" s="9" t="s">
        <v>53</v>
      </c>
      <c r="O201" s="17">
        <f>Table1[[#This Row],[PRICE UNIT]]*Table1[[#This Row],[QUANTITY]]</f>
        <v>1899</v>
      </c>
      <c r="P201" s="25"/>
    </row>
    <row r="202" spans="1:16">
      <c r="D202" s="51"/>
      <c r="E202" s="20"/>
      <c r="F202" s="20"/>
      <c r="G202" s="20"/>
      <c r="H202" s="20"/>
      <c r="J202" s="20"/>
      <c r="K202" s="20"/>
      <c r="L202" s="20"/>
      <c r="M202" s="20"/>
      <c r="N202" s="20"/>
    </row>
    <row r="203" spans="1:16">
      <c r="D203" s="51"/>
      <c r="E203" s="20"/>
      <c r="F203" s="20"/>
      <c r="G203" s="20"/>
      <c r="H203" s="20"/>
      <c r="J203" s="20"/>
      <c r="K203" s="20"/>
      <c r="L203" s="20"/>
      <c r="M203" s="20"/>
      <c r="N203" s="20"/>
    </row>
    <row r="204" spans="1:16">
      <c r="D204" s="20"/>
      <c r="E204" s="20"/>
      <c r="F204" s="20"/>
      <c r="G204" s="20"/>
      <c r="H204" s="20"/>
      <c r="J204" s="20"/>
      <c r="K204" s="20"/>
      <c r="L204" s="20"/>
      <c r="M204" s="20"/>
      <c r="N204" s="20"/>
    </row>
    <row r="205" spans="1:16">
      <c r="D205" s="20"/>
      <c r="E205" s="20"/>
      <c r="F205" s="20"/>
      <c r="G205" s="20"/>
      <c r="H205" s="20"/>
      <c r="J205" s="20"/>
      <c r="K205" s="20"/>
      <c r="L205" s="20"/>
      <c r="M205" s="20"/>
      <c r="N205" s="20"/>
    </row>
    <row r="206" spans="1:16">
      <c r="D206" s="20"/>
      <c r="E206" s="20"/>
      <c r="F206" s="20"/>
      <c r="G206" s="20"/>
      <c r="H206" s="20"/>
      <c r="J206" s="20"/>
      <c r="K206" s="20"/>
      <c r="L206" s="20"/>
      <c r="M206" s="20"/>
      <c r="N206" s="20"/>
    </row>
    <row r="207" spans="1:16">
      <c r="D207" s="20"/>
      <c r="E207" s="20"/>
      <c r="F207" s="20"/>
      <c r="G207" s="20"/>
      <c r="H207" s="20"/>
      <c r="J207" s="20"/>
      <c r="K207" s="20"/>
      <c r="L207" s="20"/>
      <c r="M207" s="20"/>
      <c r="N207" s="20"/>
    </row>
    <row r="208" spans="1:16">
      <c r="D208" s="20"/>
      <c r="E208" s="20"/>
      <c r="F208" s="20"/>
      <c r="G208" s="20"/>
      <c r="H208" s="20"/>
      <c r="J208" s="20"/>
      <c r="K208" s="20"/>
      <c r="L208" s="20"/>
      <c r="M208" s="20"/>
      <c r="N208" s="20"/>
    </row>
  </sheetData>
  <conditionalFormatting sqref="K2:K201">
    <cfRule type="containsText" dxfId="29" priority="23" operator="containsText" text="Yellow">
      <formula>NOT(ISERROR(SEARCH("Yellow",K2)))</formula>
    </cfRule>
  </conditionalFormatting>
  <conditionalFormatting sqref="O1:P1048576">
    <cfRule type="top10" dxfId="28" priority="19" rank="10"/>
  </conditionalFormatting>
  <conditionalFormatting sqref="N1:N1048576">
    <cfRule type="containsText" dxfId="27" priority="16" operator="containsText" text="COD">
      <formula>NOT(ISERROR(SEARCH("COD",N1)))</formula>
    </cfRule>
  </conditionalFormatting>
  <conditionalFormatting sqref="N1:N1048576">
    <cfRule type="containsText" dxfId="26" priority="15" operator="containsText" text="Credit Card">
      <formula>NOT(ISERROR(SEARCH("Credit Card",N1)))</formula>
    </cfRule>
  </conditionalFormatting>
  <conditionalFormatting sqref="G1:G1048576">
    <cfRule type="containsText" dxfId="25" priority="14" operator="containsText" text="T-Shirt">
      <formula>NOT(ISERROR(SEARCH("T-Shirt",G1)))</formula>
    </cfRule>
  </conditionalFormatting>
  <conditionalFormatting sqref="M2:M201">
    <cfRule type="cellIs" dxfId="24" priority="9" operator="greaterThan">
      <formula>3000</formula>
    </cfRule>
  </conditionalFormatting>
  <conditionalFormatting sqref="M2:M201">
    <cfRule type="cellIs" dxfId="23" priority="8" operator="lessThan">
      <formula>790</formula>
    </cfRule>
  </conditionalFormatting>
  <conditionalFormatting sqref="D203">
    <cfRule type="cellIs" dxfId="22" priority="7" operator="between">
      <formula>16</formula>
      <formula>23</formula>
    </cfRule>
  </conditionalFormatting>
  <conditionalFormatting sqref="D203">
    <cfRule type="cellIs" dxfId="21" priority="6" operator="between">
      <formula>23</formula>
      <formula>30</formula>
    </cfRule>
  </conditionalFormatting>
  <conditionalFormatting sqref="D2:D201">
    <cfRule type="cellIs" dxfId="20" priority="5" operator="between">
      <formula>16</formula>
      <formula>25</formula>
    </cfRule>
  </conditionalFormatting>
  <conditionalFormatting sqref="D2:D201">
    <cfRule type="cellIs" dxfId="19" priority="4" operator="between">
      <formula>25</formula>
      <formula>30</formula>
    </cfRule>
  </conditionalFormatting>
  <conditionalFormatting sqref="F2:F201">
    <cfRule type="containsText" dxfId="18" priority="1" operator="containsText" text="Delhi">
      <formula>NOT(ISERROR(SEARCH("Delhi",F2)))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B904-60D1-498E-ABDC-AA74DECE0678}">
  <dimension ref="A1:AC81"/>
  <sheetViews>
    <sheetView tabSelected="1" workbookViewId="0">
      <selection activeCell="I21" sqref="I21"/>
    </sheetView>
  </sheetViews>
  <sheetFormatPr defaultRowHeight="15" zeroHeight="1"/>
  <cols>
    <col min="1" max="1" width="11.7109375" style="34" bestFit="1" customWidth="1"/>
    <col min="2" max="2" width="22.5703125" style="34" bestFit="1" customWidth="1"/>
    <col min="3" max="3" width="8" style="34" bestFit="1" customWidth="1"/>
    <col min="4" max="4" width="17.5703125" style="34" bestFit="1" customWidth="1"/>
    <col min="5" max="5" width="14" style="34" bestFit="1" customWidth="1"/>
    <col min="6" max="6" width="18" style="34" bestFit="1" customWidth="1"/>
    <col min="7" max="7" width="15.7109375" style="34" bestFit="1" customWidth="1"/>
    <col min="8" max="8" width="24.7109375" style="34" bestFit="1" customWidth="1"/>
    <col min="9" max="9" width="12" style="34" bestFit="1" customWidth="1"/>
    <col min="10" max="10" width="8" style="34" bestFit="1" customWidth="1"/>
    <col min="11" max="11" width="13.42578125" style="34" bestFit="1" customWidth="1"/>
    <col min="12" max="12" width="23.5703125" style="34" bestFit="1" customWidth="1"/>
    <col min="13" max="16384" width="9.140625" style="34"/>
  </cols>
  <sheetData>
    <row r="1" spans="1:29" s="37" customFormat="1" ht="21" customHeight="1">
      <c r="A1" s="38" t="s">
        <v>572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s="37" customFormat="1" ht="1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29"/>
    <row r="4" spans="1:29">
      <c r="A4" s="35" t="s">
        <v>47</v>
      </c>
      <c r="B4" s="35" t="s">
        <v>51</v>
      </c>
      <c r="C4" s="35" t="s">
        <v>59</v>
      </c>
      <c r="D4" s="35" t="s">
        <v>7</v>
      </c>
    </row>
    <row r="5" spans="1:29">
      <c r="A5" s="35" t="s">
        <v>48</v>
      </c>
      <c r="B5" s="35" t="s">
        <v>53</v>
      </c>
      <c r="C5" s="35" t="s">
        <v>61</v>
      </c>
      <c r="D5" s="36">
        <v>4</v>
      </c>
    </row>
    <row r="6" spans="1:29">
      <c r="A6" s="35"/>
      <c r="B6" s="35"/>
      <c r="C6" s="35" t="s">
        <v>65</v>
      </c>
      <c r="D6" s="36">
        <v>3</v>
      </c>
    </row>
    <row r="7" spans="1:29">
      <c r="A7" s="35"/>
      <c r="B7" s="35" t="s">
        <v>573</v>
      </c>
      <c r="C7" s="35"/>
      <c r="D7" s="36">
        <v>7</v>
      </c>
    </row>
    <row r="8" spans="1:29">
      <c r="A8" s="35"/>
      <c r="B8" s="35" t="s">
        <v>54</v>
      </c>
      <c r="C8" s="35" t="s">
        <v>61</v>
      </c>
      <c r="D8" s="36">
        <v>4</v>
      </c>
    </row>
    <row r="9" spans="1:29">
      <c r="A9" s="35"/>
      <c r="B9" s="35"/>
      <c r="C9" s="35" t="s">
        <v>62</v>
      </c>
      <c r="D9" s="36">
        <v>2</v>
      </c>
    </row>
    <row r="10" spans="1:29">
      <c r="A10" s="35"/>
      <c r="B10" s="35" t="s">
        <v>574</v>
      </c>
      <c r="C10" s="35"/>
      <c r="D10" s="36">
        <v>6</v>
      </c>
    </row>
    <row r="11" spans="1:29">
      <c r="A11" s="35"/>
      <c r="B11" s="35" t="s">
        <v>55</v>
      </c>
      <c r="C11" s="35" t="s">
        <v>65</v>
      </c>
      <c r="D11" s="36">
        <v>2</v>
      </c>
    </row>
    <row r="12" spans="1:29">
      <c r="A12" s="35"/>
      <c r="B12" s="35" t="s">
        <v>575</v>
      </c>
      <c r="C12" s="35"/>
      <c r="D12" s="36">
        <v>2</v>
      </c>
    </row>
    <row r="13" spans="1:29">
      <c r="A13" s="35"/>
      <c r="B13" s="35" t="s">
        <v>56</v>
      </c>
      <c r="C13" s="35" t="s">
        <v>61</v>
      </c>
      <c r="D13" s="36">
        <v>3</v>
      </c>
    </row>
    <row r="14" spans="1:29">
      <c r="A14" s="35"/>
      <c r="B14" s="35"/>
      <c r="C14" s="35" t="s">
        <v>62</v>
      </c>
      <c r="D14" s="36">
        <v>1</v>
      </c>
    </row>
    <row r="15" spans="1:29">
      <c r="A15" s="35"/>
      <c r="B15" s="35"/>
      <c r="C15" s="35" t="s">
        <v>68</v>
      </c>
      <c r="D15" s="36">
        <v>1</v>
      </c>
    </row>
    <row r="16" spans="1:29">
      <c r="A16" s="35"/>
      <c r="B16" s="35" t="s">
        <v>576</v>
      </c>
      <c r="C16" s="35"/>
      <c r="D16" s="36">
        <v>5</v>
      </c>
    </row>
    <row r="17" spans="1:4">
      <c r="A17" s="35"/>
      <c r="B17" s="35" t="s">
        <v>57</v>
      </c>
      <c r="C17" s="35" t="s">
        <v>62</v>
      </c>
      <c r="D17" s="36">
        <v>3</v>
      </c>
    </row>
    <row r="18" spans="1:4">
      <c r="A18" s="35"/>
      <c r="B18" s="35"/>
      <c r="C18" s="35" t="s">
        <v>68</v>
      </c>
      <c r="D18" s="36">
        <v>4</v>
      </c>
    </row>
    <row r="19" spans="1:4">
      <c r="A19" s="35"/>
      <c r="B19" s="35" t="s">
        <v>577</v>
      </c>
      <c r="C19" s="35"/>
      <c r="D19" s="36">
        <v>7</v>
      </c>
    </row>
    <row r="20" spans="1:4">
      <c r="A20" s="35" t="s">
        <v>578</v>
      </c>
      <c r="B20" s="35"/>
      <c r="C20" s="35"/>
      <c r="D20" s="36">
        <v>27</v>
      </c>
    </row>
    <row r="21" spans="1:4">
      <c r="A21" s="35" t="s">
        <v>49</v>
      </c>
      <c r="B21" s="35" t="s">
        <v>52</v>
      </c>
      <c r="C21" s="35" t="s">
        <v>61</v>
      </c>
      <c r="D21" s="36">
        <v>2</v>
      </c>
    </row>
    <row r="22" spans="1:4">
      <c r="A22" s="35"/>
      <c r="B22" s="35" t="s">
        <v>579</v>
      </c>
      <c r="C22" s="35"/>
      <c r="D22" s="36">
        <v>2</v>
      </c>
    </row>
    <row r="23" spans="1:4">
      <c r="A23" s="35"/>
      <c r="B23" s="35" t="s">
        <v>54</v>
      </c>
      <c r="C23" s="35" t="s">
        <v>62</v>
      </c>
      <c r="D23" s="36">
        <v>2</v>
      </c>
    </row>
    <row r="24" spans="1:4">
      <c r="A24" s="35"/>
      <c r="B24" s="35"/>
      <c r="C24" s="35" t="s">
        <v>68</v>
      </c>
      <c r="D24" s="36">
        <v>4</v>
      </c>
    </row>
    <row r="25" spans="1:4">
      <c r="A25" s="35"/>
      <c r="B25" s="35" t="s">
        <v>574</v>
      </c>
      <c r="C25" s="35"/>
      <c r="D25" s="36">
        <v>6</v>
      </c>
    </row>
    <row r="26" spans="1:4">
      <c r="A26" s="35"/>
      <c r="B26" s="35" t="s">
        <v>57</v>
      </c>
      <c r="C26" s="35" t="s">
        <v>68</v>
      </c>
      <c r="D26" s="36">
        <v>2</v>
      </c>
    </row>
    <row r="27" spans="1:4">
      <c r="A27" s="35"/>
      <c r="B27" s="35"/>
      <c r="C27" s="35" t="s">
        <v>65</v>
      </c>
      <c r="D27" s="36">
        <v>4</v>
      </c>
    </row>
    <row r="28" spans="1:4">
      <c r="A28" s="35"/>
      <c r="B28" s="35"/>
      <c r="C28" s="35" t="s">
        <v>71</v>
      </c>
      <c r="D28" s="36">
        <v>1</v>
      </c>
    </row>
    <row r="29" spans="1:4">
      <c r="A29" s="35"/>
      <c r="B29" s="35" t="s">
        <v>577</v>
      </c>
      <c r="C29" s="35"/>
      <c r="D29" s="36">
        <v>7</v>
      </c>
    </row>
    <row r="30" spans="1:4">
      <c r="A30" s="35" t="s">
        <v>580</v>
      </c>
      <c r="B30" s="35"/>
      <c r="C30" s="35"/>
      <c r="D30" s="36">
        <v>15</v>
      </c>
    </row>
    <row r="31" spans="1:4">
      <c r="A31" s="35" t="s">
        <v>46</v>
      </c>
      <c r="B31" s="35"/>
      <c r="C31" s="35"/>
      <c r="D31" s="36">
        <v>42</v>
      </c>
    </row>
    <row r="32" spans="1:4">
      <c r="A32"/>
      <c r="B32"/>
      <c r="C32"/>
      <c r="D32"/>
    </row>
    <row r="33" spans="1:4">
      <c r="A33"/>
      <c r="B33"/>
      <c r="C33"/>
      <c r="D33"/>
    </row>
    <row r="34" spans="1:4">
      <c r="A34"/>
      <c r="B34"/>
      <c r="C34"/>
      <c r="D34"/>
    </row>
    <row r="35" spans="1:4">
      <c r="A35"/>
      <c r="B35"/>
      <c r="C35"/>
      <c r="D35"/>
    </row>
    <row r="36" spans="1:4">
      <c r="A36"/>
      <c r="B36"/>
      <c r="C36"/>
      <c r="D36"/>
    </row>
    <row r="37" spans="1:4" hidden="1">
      <c r="A37"/>
      <c r="B37"/>
      <c r="C37"/>
      <c r="D37"/>
    </row>
    <row r="38" spans="1:4" hidden="1">
      <c r="A38"/>
      <c r="B38"/>
      <c r="C38"/>
      <c r="D38"/>
    </row>
    <row r="39" spans="1:4" hidden="1">
      <c r="A39"/>
      <c r="B39"/>
      <c r="C39"/>
      <c r="D39"/>
    </row>
    <row r="40" spans="1:4" hidden="1">
      <c r="A40"/>
      <c r="B40"/>
      <c r="C40"/>
      <c r="D40"/>
    </row>
    <row r="41" spans="1:4" hidden="1">
      <c r="A41"/>
      <c r="B41"/>
      <c r="C41"/>
      <c r="D41"/>
    </row>
    <row r="42" spans="1:4" hidden="1">
      <c r="A42"/>
      <c r="B42"/>
      <c r="C42"/>
      <c r="D42"/>
    </row>
    <row r="43" spans="1:4" hidden="1">
      <c r="A43"/>
      <c r="B43"/>
      <c r="C43"/>
      <c r="D43"/>
    </row>
    <row r="44" spans="1:4" hidden="1">
      <c r="A44"/>
      <c r="B44"/>
      <c r="C44"/>
      <c r="D44"/>
    </row>
    <row r="45" spans="1:4" hidden="1">
      <c r="A45"/>
      <c r="B45"/>
      <c r="C45"/>
      <c r="D45"/>
    </row>
    <row r="46" spans="1:4" hidden="1">
      <c r="A46"/>
      <c r="B46"/>
      <c r="C46"/>
      <c r="D46"/>
    </row>
    <row r="47" spans="1:4" hidden="1">
      <c r="A47"/>
      <c r="B47"/>
      <c r="C47"/>
      <c r="D47"/>
    </row>
    <row r="48" spans="1:4" hidden="1">
      <c r="A48"/>
      <c r="B48"/>
      <c r="C48"/>
      <c r="D48"/>
    </row>
    <row r="49" spans="1:4" hidden="1">
      <c r="A49"/>
      <c r="B49"/>
      <c r="C49"/>
      <c r="D49"/>
    </row>
    <row r="50" spans="1:4" hidden="1">
      <c r="A50"/>
      <c r="B50"/>
      <c r="C50"/>
      <c r="D50"/>
    </row>
    <row r="51" spans="1:4" hidden="1">
      <c r="A51"/>
      <c r="B51"/>
      <c r="C51"/>
      <c r="D51"/>
    </row>
    <row r="52" spans="1:4" hidden="1">
      <c r="A52"/>
      <c r="B52"/>
      <c r="C52"/>
      <c r="D52"/>
    </row>
    <row r="53" spans="1:4" hidden="1">
      <c r="A53"/>
      <c r="B53"/>
      <c r="C53"/>
      <c r="D53"/>
    </row>
    <row r="54" spans="1:4" hidden="1">
      <c r="A54"/>
      <c r="B54"/>
      <c r="C54"/>
      <c r="D54"/>
    </row>
    <row r="55" spans="1:4" hidden="1">
      <c r="A55"/>
      <c r="B55"/>
      <c r="C55"/>
      <c r="D55"/>
    </row>
    <row r="56" spans="1:4" hidden="1">
      <c r="A56"/>
      <c r="B56"/>
      <c r="C56"/>
      <c r="D56"/>
    </row>
    <row r="57" spans="1:4" hidden="1">
      <c r="A57"/>
      <c r="B57"/>
      <c r="C57"/>
      <c r="D57"/>
    </row>
    <row r="58" spans="1:4" hidden="1">
      <c r="A58"/>
      <c r="B58"/>
      <c r="C58"/>
      <c r="D58"/>
    </row>
    <row r="59" spans="1:4" hidden="1">
      <c r="A59"/>
      <c r="B59"/>
      <c r="C59"/>
      <c r="D59"/>
    </row>
    <row r="60" spans="1:4" hidden="1">
      <c r="A60"/>
      <c r="B60"/>
      <c r="C60"/>
      <c r="D60"/>
    </row>
    <row r="61" spans="1:4" hidden="1">
      <c r="A61"/>
      <c r="B61"/>
      <c r="C61"/>
      <c r="D61"/>
    </row>
    <row r="62" spans="1:4" hidden="1">
      <c r="A62"/>
      <c r="B62"/>
      <c r="C62"/>
      <c r="D62"/>
    </row>
    <row r="63" spans="1:4" hidden="1">
      <c r="A63"/>
      <c r="B63"/>
      <c r="C63"/>
      <c r="D63"/>
    </row>
    <row r="64" spans="1:4" hidden="1">
      <c r="A64"/>
      <c r="B64"/>
      <c r="C64"/>
      <c r="D64"/>
    </row>
    <row r="65" spans="1:4" hidden="1">
      <c r="A65"/>
      <c r="B65"/>
      <c r="C65"/>
      <c r="D65"/>
    </row>
    <row r="66" spans="1:4" hidden="1">
      <c r="A66"/>
      <c r="B66"/>
      <c r="C66"/>
      <c r="D66"/>
    </row>
    <row r="67" spans="1:4" hidden="1">
      <c r="A67"/>
      <c r="B67"/>
      <c r="C67"/>
      <c r="D67"/>
    </row>
    <row r="68" spans="1:4" hidden="1">
      <c r="A68"/>
      <c r="B68"/>
      <c r="C68"/>
      <c r="D68"/>
    </row>
    <row r="69" spans="1:4" hidden="1">
      <c r="A69"/>
      <c r="B69"/>
      <c r="C69"/>
      <c r="D69"/>
    </row>
    <row r="70" spans="1:4" hidden="1">
      <c r="A70"/>
      <c r="B70"/>
      <c r="C70"/>
      <c r="D70"/>
    </row>
    <row r="71" spans="1:4" hidden="1">
      <c r="A71"/>
      <c r="B71"/>
      <c r="C71"/>
      <c r="D71"/>
    </row>
    <row r="72" spans="1:4" hidden="1">
      <c r="A72"/>
      <c r="B72"/>
      <c r="C72"/>
      <c r="D72"/>
    </row>
    <row r="73" spans="1:4" hidden="1">
      <c r="A73"/>
      <c r="B73"/>
      <c r="C73"/>
      <c r="D73"/>
    </row>
    <row r="74" spans="1:4" hidden="1">
      <c r="A74"/>
      <c r="B74"/>
      <c r="C74"/>
      <c r="D74"/>
    </row>
    <row r="75" spans="1:4" hidden="1">
      <c r="A75"/>
      <c r="B75"/>
      <c r="C75"/>
      <c r="D75"/>
    </row>
    <row r="76" spans="1:4" hidden="1">
      <c r="A76"/>
      <c r="B76"/>
      <c r="C76"/>
      <c r="D76"/>
    </row>
    <row r="77" spans="1:4" hidden="1">
      <c r="A77"/>
      <c r="B77"/>
      <c r="C77"/>
      <c r="D77"/>
    </row>
    <row r="78" spans="1:4" hidden="1">
      <c r="A78"/>
      <c r="B78"/>
      <c r="C78"/>
      <c r="D78"/>
    </row>
    <row r="79" spans="1:4" hidden="1">
      <c r="A79"/>
      <c r="B79"/>
      <c r="C79"/>
      <c r="D79"/>
    </row>
    <row r="80" spans="1:4" hidden="1">
      <c r="A80"/>
      <c r="B80"/>
      <c r="C80"/>
      <c r="D80"/>
    </row>
    <row r="81" spans="1:4" hidden="1">
      <c r="A81"/>
      <c r="B81"/>
      <c r="C81"/>
      <c r="D81"/>
    </row>
  </sheetData>
  <mergeCells count="1">
    <mergeCell ref="A1:AC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 Gupta</cp:lastModifiedBy>
  <cp:revision/>
  <dcterms:created xsi:type="dcterms:W3CDTF">2026-08-30T15:29:22Z</dcterms:created>
  <dcterms:modified xsi:type="dcterms:W3CDTF">2026-09-18T14:44:49Z</dcterms:modified>
  <cp:category/>
  <cp:contentStatus/>
</cp:coreProperties>
</file>